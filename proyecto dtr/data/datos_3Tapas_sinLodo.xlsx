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bookViews>
    <workbookView xWindow="0" yWindow="0" windowWidth="28800" windowHeight="12435"/>
  </bookViews>
  <sheets>
    <sheet name="resumen" sheetId="1" r:id="rId1"/>
    <sheet name="TRH5hP4" sheetId="7" r:id="rId2"/>
    <sheet name="TRH 5hE" sheetId="6" r:id="rId3"/>
    <sheet name="TRH 8hE" sheetId="4" r:id="rId4"/>
    <sheet name="TRH8hP4" sheetId="5" r:id="rId5"/>
    <sheet name="TRH 10hE" sheetId="2" r:id="rId6"/>
    <sheet name="TRH 10hP4" sheetId="3" r:id="rId7"/>
  </sheets>
  <externalReferences>
    <externalReference r:id="rId8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1" i="1" l="1"/>
  <c r="H23" i="1"/>
  <c r="H24" i="1"/>
  <c r="H25" i="1"/>
  <c r="H26" i="1"/>
  <c r="H22" i="1"/>
  <c r="N22" i="1" l="1"/>
  <c r="N14" i="1"/>
  <c r="C22" i="1"/>
  <c r="N15" i="1"/>
  <c r="N16" i="1" s="1"/>
  <c r="E15" i="1"/>
  <c r="E14" i="1"/>
  <c r="N19" i="1" l="1"/>
  <c r="N17" i="1" l="1"/>
  <c r="N18" i="1"/>
  <c r="D22" i="1" l="1"/>
  <c r="E22" i="1" s="1"/>
  <c r="F22" i="1" s="1"/>
  <c r="G22" i="1" s="1"/>
  <c r="C23" i="1"/>
  <c r="D23" i="1" s="1"/>
  <c r="E23" i="1" s="1"/>
  <c r="F23" i="1" s="1"/>
  <c r="G23" i="1" s="1"/>
  <c r="C24" i="1"/>
  <c r="D24" i="1" s="1"/>
  <c r="E24" i="1" s="1"/>
  <c r="F24" i="1" s="1"/>
  <c r="G24" i="1" s="1"/>
  <c r="C26" i="1"/>
  <c r="D26" i="1" s="1"/>
  <c r="E26" i="1" s="1"/>
  <c r="F26" i="1" s="1"/>
  <c r="G26" i="1" s="1"/>
  <c r="A26" i="1"/>
  <c r="C25" i="1"/>
  <c r="D25" i="1" s="1"/>
  <c r="E25" i="1" s="1"/>
  <c r="F25" i="1" s="1"/>
  <c r="G25" i="1" s="1"/>
  <c r="A25" i="1"/>
  <c r="A24" i="1"/>
  <c r="A23" i="1"/>
  <c r="A22" i="1"/>
  <c r="D16" i="1"/>
  <c r="S80" i="7"/>
  <c r="T80" i="7" s="1"/>
  <c r="U80" i="7" s="1"/>
  <c r="M80" i="7"/>
  <c r="L80" i="7"/>
  <c r="P80" i="7" s="1"/>
  <c r="F80" i="7"/>
  <c r="E80" i="7"/>
  <c r="Q79" i="7"/>
  <c r="P79" i="7"/>
  <c r="O79" i="7"/>
  <c r="N79" i="7"/>
  <c r="L79" i="7"/>
  <c r="F79" i="7"/>
  <c r="E79" i="7"/>
  <c r="S78" i="7"/>
  <c r="T78" i="7" s="1"/>
  <c r="U78" i="7" s="1"/>
  <c r="M78" i="7"/>
  <c r="L78" i="7"/>
  <c r="P78" i="7" s="1"/>
  <c r="F78" i="7"/>
  <c r="E78" i="7"/>
  <c r="Q77" i="7"/>
  <c r="P77" i="7"/>
  <c r="O77" i="7"/>
  <c r="N77" i="7"/>
  <c r="L77" i="7"/>
  <c r="F77" i="7"/>
  <c r="G77" i="7" s="1"/>
  <c r="E77" i="7"/>
  <c r="S76" i="7"/>
  <c r="T76" i="7" s="1"/>
  <c r="U76" i="7" s="1"/>
  <c r="M76" i="7"/>
  <c r="L76" i="7"/>
  <c r="P76" i="7" s="1"/>
  <c r="F76" i="7"/>
  <c r="E76" i="7"/>
  <c r="Q75" i="7"/>
  <c r="P75" i="7"/>
  <c r="O75" i="7"/>
  <c r="N75" i="7"/>
  <c r="L75" i="7"/>
  <c r="F75" i="7"/>
  <c r="E75" i="7"/>
  <c r="S74" i="7"/>
  <c r="T74" i="7" s="1"/>
  <c r="U74" i="7" s="1"/>
  <c r="M74" i="7"/>
  <c r="L74" i="7"/>
  <c r="P74" i="7" s="1"/>
  <c r="F74" i="7"/>
  <c r="E74" i="7"/>
  <c r="Q73" i="7"/>
  <c r="P73" i="7"/>
  <c r="O73" i="7"/>
  <c r="N73" i="7"/>
  <c r="L73" i="7"/>
  <c r="F73" i="7"/>
  <c r="E73" i="7"/>
  <c r="S72" i="7"/>
  <c r="T72" i="7" s="1"/>
  <c r="U72" i="7" s="1"/>
  <c r="M72" i="7"/>
  <c r="L72" i="7"/>
  <c r="P72" i="7" s="1"/>
  <c r="F72" i="7"/>
  <c r="E72" i="7"/>
  <c r="X71" i="7"/>
  <c r="Q71" i="7"/>
  <c r="P71" i="7"/>
  <c r="O71" i="7"/>
  <c r="N71" i="7"/>
  <c r="L71" i="7"/>
  <c r="G71" i="7"/>
  <c r="F71" i="7"/>
  <c r="M71" i="7" s="1"/>
  <c r="R71" i="7" s="1"/>
  <c r="E71" i="7"/>
  <c r="L70" i="7"/>
  <c r="F70" i="7"/>
  <c r="E70" i="7"/>
  <c r="S69" i="7"/>
  <c r="T69" i="7" s="1"/>
  <c r="U69" i="7" s="1"/>
  <c r="Q69" i="7"/>
  <c r="P69" i="7"/>
  <c r="O69" i="7"/>
  <c r="L69" i="7"/>
  <c r="N69" i="7" s="1"/>
  <c r="G69" i="7"/>
  <c r="F69" i="7"/>
  <c r="M69" i="7" s="1"/>
  <c r="E69" i="7"/>
  <c r="O68" i="7"/>
  <c r="M68" i="7"/>
  <c r="L68" i="7"/>
  <c r="F68" i="7"/>
  <c r="E68" i="7"/>
  <c r="G68" i="7" s="1"/>
  <c r="S67" i="7"/>
  <c r="T67" i="7" s="1"/>
  <c r="U67" i="7" s="1"/>
  <c r="Q67" i="7"/>
  <c r="P67" i="7"/>
  <c r="O67" i="7"/>
  <c r="L67" i="7"/>
  <c r="N67" i="7" s="1"/>
  <c r="G67" i="7"/>
  <c r="F67" i="7"/>
  <c r="M67" i="7" s="1"/>
  <c r="E67" i="7"/>
  <c r="O66" i="7"/>
  <c r="M66" i="7"/>
  <c r="L66" i="7"/>
  <c r="G66" i="7"/>
  <c r="F66" i="7"/>
  <c r="E66" i="7"/>
  <c r="S65" i="7"/>
  <c r="T65" i="7" s="1"/>
  <c r="U65" i="7" s="1"/>
  <c r="Q65" i="7"/>
  <c r="P65" i="7"/>
  <c r="O65" i="7"/>
  <c r="L65" i="7"/>
  <c r="N65" i="7" s="1"/>
  <c r="G65" i="7"/>
  <c r="F65" i="7"/>
  <c r="M65" i="7" s="1"/>
  <c r="E65" i="7"/>
  <c r="M64" i="7"/>
  <c r="L64" i="7"/>
  <c r="G64" i="7"/>
  <c r="F64" i="7"/>
  <c r="E64" i="7"/>
  <c r="S63" i="7"/>
  <c r="T63" i="7" s="1"/>
  <c r="U63" i="7" s="1"/>
  <c r="Q63" i="7"/>
  <c r="P63" i="7"/>
  <c r="O63" i="7"/>
  <c r="L63" i="7"/>
  <c r="N63" i="7" s="1"/>
  <c r="G63" i="7"/>
  <c r="F63" i="7"/>
  <c r="M63" i="7" s="1"/>
  <c r="E63" i="7"/>
  <c r="M62" i="7"/>
  <c r="L62" i="7"/>
  <c r="F62" i="7"/>
  <c r="E62" i="7"/>
  <c r="G62" i="7" s="1"/>
  <c r="S61" i="7"/>
  <c r="T61" i="7" s="1"/>
  <c r="U61" i="7" s="1"/>
  <c r="Q61" i="7"/>
  <c r="P61" i="7"/>
  <c r="O61" i="7"/>
  <c r="L61" i="7"/>
  <c r="N61" i="7" s="1"/>
  <c r="G61" i="7"/>
  <c r="F61" i="7"/>
  <c r="M61" i="7" s="1"/>
  <c r="E61" i="7"/>
  <c r="O60" i="7"/>
  <c r="M60" i="7"/>
  <c r="L60" i="7"/>
  <c r="F60" i="7"/>
  <c r="E60" i="7"/>
  <c r="G60" i="7" s="1"/>
  <c r="T59" i="7"/>
  <c r="U59" i="7" s="1"/>
  <c r="S59" i="7"/>
  <c r="R59" i="7"/>
  <c r="M59" i="7"/>
  <c r="L59" i="7"/>
  <c r="Q59" i="7" s="1"/>
  <c r="F59" i="7"/>
  <c r="E59" i="7"/>
  <c r="G59" i="7" s="1"/>
  <c r="P58" i="7"/>
  <c r="O58" i="7"/>
  <c r="N58" i="7"/>
  <c r="M58" i="7"/>
  <c r="L58" i="7"/>
  <c r="Q58" i="7" s="1"/>
  <c r="R58" i="7" s="1"/>
  <c r="F58" i="7"/>
  <c r="E58" i="7"/>
  <c r="G58" i="7" s="1"/>
  <c r="T57" i="7"/>
  <c r="U57" i="7" s="1"/>
  <c r="S57" i="7"/>
  <c r="Q57" i="7"/>
  <c r="R57" i="7" s="1"/>
  <c r="M57" i="7"/>
  <c r="L57" i="7"/>
  <c r="F57" i="7"/>
  <c r="G57" i="7" s="1"/>
  <c r="E57" i="7"/>
  <c r="P56" i="7"/>
  <c r="O56" i="7"/>
  <c r="N56" i="7"/>
  <c r="M56" i="7"/>
  <c r="L56" i="7"/>
  <c r="Q56" i="7" s="1"/>
  <c r="R56" i="7" s="1"/>
  <c r="F56" i="7"/>
  <c r="S56" i="7" s="1"/>
  <c r="T56" i="7" s="1"/>
  <c r="U56" i="7" s="1"/>
  <c r="S55" i="7"/>
  <c r="T55" i="7" s="1"/>
  <c r="U55" i="7" s="1"/>
  <c r="Q55" i="7"/>
  <c r="P55" i="7"/>
  <c r="O55" i="7"/>
  <c r="L55" i="7"/>
  <c r="N55" i="7" s="1"/>
  <c r="G55" i="7"/>
  <c r="F55" i="7"/>
  <c r="M55" i="7" s="1"/>
  <c r="N54" i="7"/>
  <c r="L54" i="7"/>
  <c r="F54" i="7"/>
  <c r="Q53" i="7"/>
  <c r="P53" i="7"/>
  <c r="O53" i="7"/>
  <c r="N53" i="7"/>
  <c r="L53" i="7"/>
  <c r="F53" i="7"/>
  <c r="S52" i="7"/>
  <c r="T52" i="7" s="1"/>
  <c r="U52" i="7" s="1"/>
  <c r="Q52" i="7"/>
  <c r="L52" i="7"/>
  <c r="F52" i="7"/>
  <c r="G52" i="7" s="1"/>
  <c r="N51" i="7"/>
  <c r="M51" i="7"/>
  <c r="L51" i="7"/>
  <c r="F51" i="7"/>
  <c r="Q50" i="7"/>
  <c r="P50" i="7"/>
  <c r="O50" i="7"/>
  <c r="N50" i="7"/>
  <c r="L50" i="7"/>
  <c r="F50" i="7"/>
  <c r="L49" i="7"/>
  <c r="F49" i="7"/>
  <c r="Q48" i="7"/>
  <c r="P48" i="7"/>
  <c r="O48" i="7"/>
  <c r="N48" i="7"/>
  <c r="L48" i="7"/>
  <c r="F48" i="7"/>
  <c r="U47" i="7"/>
  <c r="T47" i="7"/>
  <c r="S47" i="7"/>
  <c r="Q47" i="7"/>
  <c r="R47" i="7" s="1"/>
  <c r="M47" i="7"/>
  <c r="L47" i="7"/>
  <c r="G47" i="7"/>
  <c r="F47" i="7"/>
  <c r="P46" i="7"/>
  <c r="L46" i="7"/>
  <c r="F46" i="7"/>
  <c r="S45" i="7"/>
  <c r="T45" i="7" s="1"/>
  <c r="U45" i="7" s="1"/>
  <c r="Q45" i="7"/>
  <c r="R45" i="7" s="1"/>
  <c r="P45" i="7"/>
  <c r="O45" i="7"/>
  <c r="M45" i="7"/>
  <c r="L45" i="7"/>
  <c r="N45" i="7" s="1"/>
  <c r="G45" i="7"/>
  <c r="F45" i="7"/>
  <c r="S44" i="7"/>
  <c r="T44" i="7" s="1"/>
  <c r="U44" i="7" s="1"/>
  <c r="N44" i="7"/>
  <c r="M44" i="7"/>
  <c r="L44" i="7"/>
  <c r="F44" i="7"/>
  <c r="Q43" i="7"/>
  <c r="P43" i="7"/>
  <c r="O43" i="7"/>
  <c r="N43" i="7"/>
  <c r="L43" i="7"/>
  <c r="F43" i="7"/>
  <c r="Q42" i="7"/>
  <c r="R42" i="7" s="1"/>
  <c r="L42" i="7"/>
  <c r="G42" i="7"/>
  <c r="F42" i="7"/>
  <c r="M42" i="7" s="1"/>
  <c r="M41" i="7"/>
  <c r="L41" i="7"/>
  <c r="F41" i="7"/>
  <c r="S41" i="7" s="1"/>
  <c r="T41" i="7" s="1"/>
  <c r="U41" i="7" s="1"/>
  <c r="S40" i="7"/>
  <c r="T40" i="7" s="1"/>
  <c r="U40" i="7" s="1"/>
  <c r="P40" i="7"/>
  <c r="O40" i="7"/>
  <c r="L40" i="7"/>
  <c r="Q40" i="7" s="1"/>
  <c r="G40" i="7"/>
  <c r="F40" i="7"/>
  <c r="M40" i="7" s="1"/>
  <c r="O39" i="7"/>
  <c r="N39" i="7"/>
  <c r="L39" i="7"/>
  <c r="P39" i="7" s="1"/>
  <c r="F39" i="7"/>
  <c r="S39" i="7" s="1"/>
  <c r="T39" i="7" s="1"/>
  <c r="U39" i="7" s="1"/>
  <c r="Q38" i="7"/>
  <c r="O38" i="7"/>
  <c r="N38" i="7"/>
  <c r="L38" i="7"/>
  <c r="P38" i="7" s="1"/>
  <c r="F38" i="7"/>
  <c r="M38" i="7" s="1"/>
  <c r="P37" i="7"/>
  <c r="M37" i="7"/>
  <c r="L37" i="7"/>
  <c r="Q37" i="7" s="1"/>
  <c r="R37" i="7" s="1"/>
  <c r="G37" i="7"/>
  <c r="F37" i="7"/>
  <c r="S37" i="7" s="1"/>
  <c r="T37" i="7" s="1"/>
  <c r="U37" i="7" s="1"/>
  <c r="T36" i="7"/>
  <c r="U36" i="7" s="1"/>
  <c r="S36" i="7"/>
  <c r="M36" i="7"/>
  <c r="L36" i="7"/>
  <c r="G36" i="7"/>
  <c r="F36" i="7"/>
  <c r="P35" i="7"/>
  <c r="O35" i="7"/>
  <c r="N35" i="7"/>
  <c r="L35" i="7"/>
  <c r="Q35" i="7" s="1"/>
  <c r="F35" i="7"/>
  <c r="S35" i="7" s="1"/>
  <c r="T35" i="7" s="1"/>
  <c r="U35" i="7" s="1"/>
  <c r="Q34" i="7"/>
  <c r="N34" i="7"/>
  <c r="L34" i="7"/>
  <c r="O34" i="7" s="1"/>
  <c r="F34" i="7"/>
  <c r="M34" i="7" s="1"/>
  <c r="R34" i="7" s="1"/>
  <c r="Q33" i="7"/>
  <c r="P33" i="7"/>
  <c r="M33" i="7"/>
  <c r="L33" i="7"/>
  <c r="F33" i="7"/>
  <c r="G33" i="7" s="1"/>
  <c r="S32" i="7"/>
  <c r="T32" i="7" s="1"/>
  <c r="U32" i="7" s="1"/>
  <c r="O32" i="7"/>
  <c r="L32" i="7"/>
  <c r="P32" i="7" s="1"/>
  <c r="G32" i="7"/>
  <c r="F32" i="7"/>
  <c r="M32" i="7" s="1"/>
  <c r="O31" i="7"/>
  <c r="N31" i="7"/>
  <c r="L31" i="7"/>
  <c r="P31" i="7" s="1"/>
  <c r="F31" i="7"/>
  <c r="G31" i="7" s="1"/>
  <c r="Q30" i="7"/>
  <c r="O30" i="7"/>
  <c r="N30" i="7"/>
  <c r="L30" i="7"/>
  <c r="P30" i="7" s="1"/>
  <c r="F30" i="7"/>
  <c r="M30" i="7" s="1"/>
  <c r="R30" i="7" s="1"/>
  <c r="T29" i="7"/>
  <c r="U29" i="7" s="1"/>
  <c r="P29" i="7"/>
  <c r="M29" i="7"/>
  <c r="L29" i="7"/>
  <c r="Q29" i="7" s="1"/>
  <c r="R29" i="7" s="1"/>
  <c r="F29" i="7"/>
  <c r="S29" i="7" s="1"/>
  <c r="T28" i="7"/>
  <c r="U28" i="7" s="1"/>
  <c r="S28" i="7"/>
  <c r="O28" i="7"/>
  <c r="M28" i="7"/>
  <c r="L28" i="7"/>
  <c r="G28" i="7"/>
  <c r="F28" i="7"/>
  <c r="S27" i="7"/>
  <c r="T27" i="7" s="1"/>
  <c r="U27" i="7" s="1"/>
  <c r="P27" i="7"/>
  <c r="O27" i="7"/>
  <c r="N27" i="7"/>
  <c r="L27" i="7"/>
  <c r="Q27" i="7" s="1"/>
  <c r="G27" i="7"/>
  <c r="F27" i="7"/>
  <c r="Q26" i="7"/>
  <c r="O26" i="7"/>
  <c r="N26" i="7"/>
  <c r="L26" i="7"/>
  <c r="P26" i="7" s="1"/>
  <c r="F26" i="7"/>
  <c r="M26" i="7" s="1"/>
  <c r="R26" i="7" s="1"/>
  <c r="N25" i="7"/>
  <c r="L25" i="7"/>
  <c r="O25" i="7" s="1"/>
  <c r="F25" i="7"/>
  <c r="M25" i="7" s="1"/>
  <c r="M24" i="7"/>
  <c r="L24" i="7"/>
  <c r="F24" i="7"/>
  <c r="S24" i="7" s="1"/>
  <c r="T24" i="7" s="1"/>
  <c r="U24" i="7" s="1"/>
  <c r="U23" i="7"/>
  <c r="T23" i="7"/>
  <c r="S23" i="7"/>
  <c r="P23" i="7"/>
  <c r="M23" i="7"/>
  <c r="L23" i="7"/>
  <c r="O23" i="7" s="1"/>
  <c r="G23" i="7"/>
  <c r="F23" i="7"/>
  <c r="P22" i="7"/>
  <c r="O22" i="7"/>
  <c r="N22" i="7"/>
  <c r="L22" i="7"/>
  <c r="Q22" i="7" s="1"/>
  <c r="R22" i="7" s="1"/>
  <c r="F22" i="7"/>
  <c r="M22" i="7" s="1"/>
  <c r="S21" i="7"/>
  <c r="T21" i="7" s="1"/>
  <c r="U21" i="7" s="1"/>
  <c r="Q21" i="7"/>
  <c r="R21" i="7" s="1"/>
  <c r="O21" i="7"/>
  <c r="N21" i="7"/>
  <c r="M21" i="7"/>
  <c r="L21" i="7"/>
  <c r="P21" i="7" s="1"/>
  <c r="G21" i="7"/>
  <c r="F21" i="7"/>
  <c r="P20" i="7"/>
  <c r="M20" i="7"/>
  <c r="L20" i="7"/>
  <c r="O20" i="7" s="1"/>
  <c r="F20" i="7"/>
  <c r="T19" i="7"/>
  <c r="U19" i="7" s="1"/>
  <c r="S19" i="7"/>
  <c r="Q19" i="7"/>
  <c r="P19" i="7"/>
  <c r="M19" i="7"/>
  <c r="L19" i="7"/>
  <c r="N19" i="7" s="1"/>
  <c r="G19" i="7"/>
  <c r="F19" i="7"/>
  <c r="S18" i="7"/>
  <c r="T18" i="7" s="1"/>
  <c r="U18" i="7" s="1"/>
  <c r="O18" i="7"/>
  <c r="L18" i="7"/>
  <c r="Q18" i="7" s="1"/>
  <c r="R18" i="7" s="1"/>
  <c r="G18" i="7"/>
  <c r="F18" i="7"/>
  <c r="M18" i="7" s="1"/>
  <c r="Q17" i="7"/>
  <c r="R17" i="7" s="1"/>
  <c r="O17" i="7"/>
  <c r="N17" i="7"/>
  <c r="M17" i="7"/>
  <c r="L17" i="7"/>
  <c r="P17" i="7" s="1"/>
  <c r="G17" i="7"/>
  <c r="F17" i="7"/>
  <c r="X16" i="7"/>
  <c r="Q16" i="7"/>
  <c r="P16" i="7"/>
  <c r="O16" i="7"/>
  <c r="M16" i="7"/>
  <c r="R16" i="7" s="1"/>
  <c r="L16" i="7"/>
  <c r="N16" i="7" s="1"/>
  <c r="G16" i="7"/>
  <c r="F16" i="7"/>
  <c r="S16" i="7" s="1"/>
  <c r="T16" i="7" s="1"/>
  <c r="U16" i="7" s="1"/>
  <c r="S15" i="7"/>
  <c r="T15" i="7" s="1"/>
  <c r="U15" i="7" s="1"/>
  <c r="Q15" i="7"/>
  <c r="N15" i="7"/>
  <c r="L15" i="7"/>
  <c r="P15" i="7" s="1"/>
  <c r="F15" i="7"/>
  <c r="N14" i="7"/>
  <c r="L14" i="7"/>
  <c r="Q14" i="7" s="1"/>
  <c r="F14" i="7"/>
  <c r="X15" i="7" s="1"/>
  <c r="T13" i="7"/>
  <c r="U13" i="7" s="1"/>
  <c r="S13" i="7"/>
  <c r="Q13" i="7"/>
  <c r="O13" i="7"/>
  <c r="L13" i="7"/>
  <c r="N13" i="7" s="1"/>
  <c r="G13" i="7"/>
  <c r="F13" i="7"/>
  <c r="M13" i="7" s="1"/>
  <c r="L12" i="7"/>
  <c r="Q12" i="7" s="1"/>
  <c r="G12" i="7"/>
  <c r="V12" i="7" s="1"/>
  <c r="F12" i="7"/>
  <c r="M12" i="7" s="1"/>
  <c r="B7" i="7"/>
  <c r="C7" i="7" s="1"/>
  <c r="J6" i="7"/>
  <c r="I3" i="7"/>
  <c r="N2" i="7"/>
  <c r="L2" i="7"/>
  <c r="G112" i="6"/>
  <c r="L103" i="6"/>
  <c r="L101" i="6"/>
  <c r="K101" i="6"/>
  <c r="AA80" i="6"/>
  <c r="Q80" i="6"/>
  <c r="R80" i="6" s="1"/>
  <c r="P80" i="6"/>
  <c r="O80" i="6"/>
  <c r="N80" i="6"/>
  <c r="M80" i="6"/>
  <c r="L80" i="6"/>
  <c r="G80" i="6"/>
  <c r="F80" i="6"/>
  <c r="E80" i="6"/>
  <c r="S80" i="6" s="1"/>
  <c r="T80" i="6" s="1"/>
  <c r="M79" i="6"/>
  <c r="L79" i="6"/>
  <c r="N79" i="6" s="1"/>
  <c r="F79" i="6"/>
  <c r="E79" i="6"/>
  <c r="AA78" i="6"/>
  <c r="S78" i="6"/>
  <c r="T78" i="6" s="1"/>
  <c r="R78" i="6"/>
  <c r="Q78" i="6"/>
  <c r="P78" i="6"/>
  <c r="O78" i="6"/>
  <c r="M78" i="6"/>
  <c r="L78" i="6"/>
  <c r="N78" i="6" s="1"/>
  <c r="G78" i="6"/>
  <c r="F78" i="6"/>
  <c r="E78" i="6"/>
  <c r="Q77" i="6"/>
  <c r="R77" i="6" s="1"/>
  <c r="P77" i="6"/>
  <c r="O77" i="6"/>
  <c r="N77" i="6"/>
  <c r="M77" i="6"/>
  <c r="L77" i="6"/>
  <c r="AA77" i="6" s="1"/>
  <c r="G77" i="6"/>
  <c r="F77" i="6"/>
  <c r="E77" i="6"/>
  <c r="S77" i="6" s="1"/>
  <c r="T77" i="6" s="1"/>
  <c r="L76" i="6"/>
  <c r="F76" i="6"/>
  <c r="E76" i="6"/>
  <c r="AA75" i="6"/>
  <c r="S75" i="6"/>
  <c r="T75" i="6" s="1"/>
  <c r="Q75" i="6"/>
  <c r="R75" i="6" s="1"/>
  <c r="P75" i="6"/>
  <c r="O75" i="6"/>
  <c r="N75" i="6"/>
  <c r="M75" i="6"/>
  <c r="L75" i="6"/>
  <c r="G75" i="6"/>
  <c r="F75" i="6"/>
  <c r="E75" i="6"/>
  <c r="P74" i="6"/>
  <c r="O74" i="6"/>
  <c r="N74" i="6"/>
  <c r="L74" i="6"/>
  <c r="AA74" i="6" s="1"/>
  <c r="F74" i="6"/>
  <c r="G74" i="6" s="1"/>
  <c r="E74" i="6"/>
  <c r="M73" i="6"/>
  <c r="L73" i="6"/>
  <c r="F73" i="6"/>
  <c r="E73" i="6"/>
  <c r="G73" i="6" s="1"/>
  <c r="AA72" i="6"/>
  <c r="S72" i="6"/>
  <c r="T72" i="6" s="1"/>
  <c r="Q72" i="6"/>
  <c r="R72" i="6" s="1"/>
  <c r="P72" i="6"/>
  <c r="O72" i="6"/>
  <c r="N72" i="6"/>
  <c r="M72" i="6"/>
  <c r="L72" i="6"/>
  <c r="G72" i="6"/>
  <c r="F72" i="6"/>
  <c r="E72" i="6"/>
  <c r="P71" i="6"/>
  <c r="O71" i="6"/>
  <c r="N71" i="6"/>
  <c r="L71" i="6"/>
  <c r="AA71" i="6" s="1"/>
  <c r="F71" i="6"/>
  <c r="E71" i="6"/>
  <c r="M70" i="6"/>
  <c r="L70" i="6"/>
  <c r="F70" i="6"/>
  <c r="E70" i="6"/>
  <c r="G70" i="6" s="1"/>
  <c r="AA69" i="6"/>
  <c r="Q69" i="6"/>
  <c r="P69" i="6"/>
  <c r="N69" i="6"/>
  <c r="L69" i="6"/>
  <c r="O69" i="6" s="1"/>
  <c r="F69" i="6"/>
  <c r="G69" i="6" s="1"/>
  <c r="E69" i="6"/>
  <c r="AA68" i="6"/>
  <c r="Q68" i="6"/>
  <c r="R68" i="6" s="1"/>
  <c r="O68" i="6"/>
  <c r="N68" i="6"/>
  <c r="M68" i="6"/>
  <c r="L68" i="6"/>
  <c r="P68" i="6" s="1"/>
  <c r="F68" i="6"/>
  <c r="E68" i="6"/>
  <c r="S67" i="6"/>
  <c r="T67" i="6" s="1"/>
  <c r="L67" i="6"/>
  <c r="F67" i="6"/>
  <c r="E67" i="6"/>
  <c r="AA66" i="6"/>
  <c r="S66" i="6"/>
  <c r="T66" i="6" s="1"/>
  <c r="Q66" i="6"/>
  <c r="R66" i="6" s="1"/>
  <c r="P66" i="6"/>
  <c r="O66" i="6"/>
  <c r="N66" i="6"/>
  <c r="M66" i="6"/>
  <c r="L66" i="6"/>
  <c r="G66" i="6"/>
  <c r="F66" i="6"/>
  <c r="E66" i="6"/>
  <c r="M65" i="6"/>
  <c r="L65" i="6"/>
  <c r="N65" i="6" s="1"/>
  <c r="F65" i="6"/>
  <c r="E65" i="6"/>
  <c r="AA64" i="6"/>
  <c r="S64" i="6"/>
  <c r="T64" i="6" s="1"/>
  <c r="R64" i="6"/>
  <c r="Q64" i="6"/>
  <c r="P64" i="6"/>
  <c r="O64" i="6"/>
  <c r="M64" i="6"/>
  <c r="L64" i="6"/>
  <c r="N64" i="6" s="1"/>
  <c r="F64" i="6"/>
  <c r="E64" i="6"/>
  <c r="G64" i="6" s="1"/>
  <c r="P63" i="6"/>
  <c r="O63" i="6"/>
  <c r="N63" i="6"/>
  <c r="L63" i="6"/>
  <c r="AA63" i="6" s="1"/>
  <c r="G63" i="6"/>
  <c r="F63" i="6"/>
  <c r="E63" i="6"/>
  <c r="T62" i="6"/>
  <c r="S62" i="6"/>
  <c r="M62" i="6"/>
  <c r="L62" i="6"/>
  <c r="F62" i="6"/>
  <c r="E62" i="6"/>
  <c r="G62" i="6" s="1"/>
  <c r="AA61" i="6"/>
  <c r="Q61" i="6"/>
  <c r="P61" i="6"/>
  <c r="L61" i="6"/>
  <c r="O61" i="6" s="1"/>
  <c r="F61" i="6"/>
  <c r="G61" i="6" s="1"/>
  <c r="E61" i="6"/>
  <c r="P60" i="6"/>
  <c r="O60" i="6"/>
  <c r="N60" i="6"/>
  <c r="L60" i="6"/>
  <c r="AA60" i="6" s="1"/>
  <c r="F60" i="6"/>
  <c r="X60" i="6" s="1"/>
  <c r="E60" i="6"/>
  <c r="M59" i="6"/>
  <c r="L59" i="6"/>
  <c r="F59" i="6"/>
  <c r="E59" i="6"/>
  <c r="G59" i="6" s="1"/>
  <c r="AA58" i="6"/>
  <c r="Q58" i="6"/>
  <c r="P58" i="6"/>
  <c r="L58" i="6"/>
  <c r="O58" i="6" s="1"/>
  <c r="F58" i="6"/>
  <c r="G58" i="6" s="1"/>
  <c r="E58" i="6"/>
  <c r="AA57" i="6"/>
  <c r="Q57" i="6"/>
  <c r="R57" i="6" s="1"/>
  <c r="O57" i="6"/>
  <c r="N57" i="6"/>
  <c r="M57" i="6"/>
  <c r="L57" i="6"/>
  <c r="P57" i="6" s="1"/>
  <c r="G57" i="6"/>
  <c r="F57" i="6"/>
  <c r="E57" i="6"/>
  <c r="S56" i="6"/>
  <c r="T56" i="6" s="1"/>
  <c r="M56" i="6"/>
  <c r="L56" i="6"/>
  <c r="G56" i="6"/>
  <c r="F56" i="6"/>
  <c r="AA55" i="6"/>
  <c r="S55" i="6"/>
  <c r="T55" i="6" s="1"/>
  <c r="Q55" i="6"/>
  <c r="R55" i="6" s="1"/>
  <c r="P55" i="6"/>
  <c r="O55" i="6"/>
  <c r="N55" i="6"/>
  <c r="M55" i="6"/>
  <c r="L55" i="6"/>
  <c r="G55" i="6"/>
  <c r="F55" i="6"/>
  <c r="S54" i="6"/>
  <c r="T54" i="6" s="1"/>
  <c r="M54" i="6"/>
  <c r="L54" i="6"/>
  <c r="G54" i="6"/>
  <c r="F54" i="6"/>
  <c r="AA53" i="6"/>
  <c r="S53" i="6"/>
  <c r="T53" i="6" s="1"/>
  <c r="Q53" i="6"/>
  <c r="R53" i="6" s="1"/>
  <c r="P53" i="6"/>
  <c r="O53" i="6"/>
  <c r="N53" i="6"/>
  <c r="M53" i="6"/>
  <c r="L53" i="6"/>
  <c r="G53" i="6"/>
  <c r="F53" i="6"/>
  <c r="T52" i="6"/>
  <c r="S52" i="6"/>
  <c r="M52" i="6"/>
  <c r="L52" i="6"/>
  <c r="G52" i="6"/>
  <c r="F52" i="6"/>
  <c r="AA51" i="6"/>
  <c r="S51" i="6"/>
  <c r="T51" i="6" s="1"/>
  <c r="Q51" i="6"/>
  <c r="R51" i="6" s="1"/>
  <c r="P51" i="6"/>
  <c r="O51" i="6"/>
  <c r="N51" i="6"/>
  <c r="M51" i="6"/>
  <c r="L51" i="6"/>
  <c r="G51" i="6"/>
  <c r="F51" i="6"/>
  <c r="T50" i="6"/>
  <c r="S50" i="6"/>
  <c r="O50" i="6"/>
  <c r="M50" i="6"/>
  <c r="L50" i="6"/>
  <c r="G50" i="6"/>
  <c r="F50" i="6"/>
  <c r="AA49" i="6"/>
  <c r="S49" i="6"/>
  <c r="T49" i="6" s="1"/>
  <c r="Q49" i="6"/>
  <c r="R49" i="6" s="1"/>
  <c r="P49" i="6"/>
  <c r="O49" i="6"/>
  <c r="N49" i="6"/>
  <c r="M49" i="6"/>
  <c r="L49" i="6"/>
  <c r="G49" i="6"/>
  <c r="F49" i="6"/>
  <c r="S48" i="6"/>
  <c r="T48" i="6" s="1"/>
  <c r="Q48" i="6"/>
  <c r="R48" i="6" s="1"/>
  <c r="M48" i="6"/>
  <c r="L48" i="6"/>
  <c r="G48" i="6"/>
  <c r="F48" i="6"/>
  <c r="AA47" i="6"/>
  <c r="S47" i="6"/>
  <c r="T47" i="6" s="1"/>
  <c r="Q47" i="6"/>
  <c r="R47" i="6" s="1"/>
  <c r="P47" i="6"/>
  <c r="O47" i="6"/>
  <c r="N47" i="6"/>
  <c r="M47" i="6"/>
  <c r="L47" i="6"/>
  <c r="G47" i="6"/>
  <c r="F47" i="6"/>
  <c r="S46" i="6"/>
  <c r="T46" i="6" s="1"/>
  <c r="M46" i="6"/>
  <c r="L46" i="6"/>
  <c r="AA46" i="6" s="1"/>
  <c r="G46" i="6"/>
  <c r="F46" i="6"/>
  <c r="AA45" i="6"/>
  <c r="S45" i="6"/>
  <c r="T45" i="6" s="1"/>
  <c r="Q45" i="6"/>
  <c r="R45" i="6" s="1"/>
  <c r="P45" i="6"/>
  <c r="O45" i="6"/>
  <c r="N45" i="6"/>
  <c r="M45" i="6"/>
  <c r="L45" i="6"/>
  <c r="G45" i="6"/>
  <c r="F45" i="6"/>
  <c r="AA44" i="6"/>
  <c r="T44" i="6"/>
  <c r="S44" i="6"/>
  <c r="Q44" i="6"/>
  <c r="R44" i="6" s="1"/>
  <c r="O44" i="6"/>
  <c r="M44" i="6"/>
  <c r="L44" i="6"/>
  <c r="G44" i="6"/>
  <c r="F44" i="6"/>
  <c r="AA43" i="6"/>
  <c r="Q43" i="6"/>
  <c r="P43" i="6"/>
  <c r="O43" i="6"/>
  <c r="N43" i="6"/>
  <c r="L43" i="6"/>
  <c r="F43" i="6"/>
  <c r="Q42" i="6"/>
  <c r="L42" i="6"/>
  <c r="AA42" i="6" s="1"/>
  <c r="G42" i="6"/>
  <c r="F42" i="6"/>
  <c r="S41" i="6"/>
  <c r="T41" i="6" s="1"/>
  <c r="P41" i="6"/>
  <c r="M41" i="6"/>
  <c r="L41" i="6"/>
  <c r="F41" i="6"/>
  <c r="G41" i="6" s="1"/>
  <c r="T40" i="6"/>
  <c r="O40" i="6"/>
  <c r="M40" i="6"/>
  <c r="L40" i="6"/>
  <c r="P40" i="6" s="1"/>
  <c r="G40" i="6"/>
  <c r="F40" i="6"/>
  <c r="S40" i="6" s="1"/>
  <c r="S39" i="6"/>
  <c r="T39" i="6" s="1"/>
  <c r="M39" i="6"/>
  <c r="L39" i="6"/>
  <c r="F39" i="6"/>
  <c r="G39" i="6" s="1"/>
  <c r="T38" i="6"/>
  <c r="O38" i="6"/>
  <c r="M38" i="6"/>
  <c r="L38" i="6"/>
  <c r="G38" i="6"/>
  <c r="F38" i="6"/>
  <c r="S38" i="6" s="1"/>
  <c r="S37" i="6"/>
  <c r="T37" i="6" s="1"/>
  <c r="M37" i="6"/>
  <c r="L37" i="6"/>
  <c r="F37" i="6"/>
  <c r="G37" i="6" s="1"/>
  <c r="AA36" i="6"/>
  <c r="X36" i="6"/>
  <c r="Q36" i="6"/>
  <c r="R36" i="6" s="1"/>
  <c r="P36" i="6"/>
  <c r="N36" i="6"/>
  <c r="M36" i="6"/>
  <c r="L36" i="6"/>
  <c r="O36" i="6" s="1"/>
  <c r="F36" i="6"/>
  <c r="S36" i="6" s="1"/>
  <c r="T36" i="6" s="1"/>
  <c r="AA35" i="6"/>
  <c r="M35" i="6"/>
  <c r="L35" i="6"/>
  <c r="F35" i="6"/>
  <c r="AA34" i="6"/>
  <c r="Q34" i="6"/>
  <c r="O34" i="6"/>
  <c r="N34" i="6"/>
  <c r="L34" i="6"/>
  <c r="P34" i="6" s="1"/>
  <c r="F34" i="6"/>
  <c r="O33" i="6"/>
  <c r="N33" i="6"/>
  <c r="M33" i="6"/>
  <c r="L33" i="6"/>
  <c r="AA33" i="6" s="1"/>
  <c r="F33" i="6"/>
  <c r="AA32" i="6"/>
  <c r="Q32" i="6"/>
  <c r="O32" i="6"/>
  <c r="N32" i="6"/>
  <c r="L32" i="6"/>
  <c r="P32" i="6" s="1"/>
  <c r="F32" i="6"/>
  <c r="O31" i="6"/>
  <c r="N31" i="6"/>
  <c r="L31" i="6"/>
  <c r="AA31" i="6" s="1"/>
  <c r="F31" i="6"/>
  <c r="M31" i="6" s="1"/>
  <c r="AA30" i="6"/>
  <c r="Q30" i="6"/>
  <c r="O30" i="6"/>
  <c r="N30" i="6"/>
  <c r="L30" i="6"/>
  <c r="P30" i="6" s="1"/>
  <c r="F30" i="6"/>
  <c r="O29" i="6"/>
  <c r="N29" i="6"/>
  <c r="M29" i="6"/>
  <c r="L29" i="6"/>
  <c r="AA29" i="6" s="1"/>
  <c r="F29" i="6"/>
  <c r="AA28" i="6"/>
  <c r="Q28" i="6"/>
  <c r="O28" i="6"/>
  <c r="N28" i="6"/>
  <c r="L28" i="6"/>
  <c r="P28" i="6" s="1"/>
  <c r="F28" i="6"/>
  <c r="S28" i="6" s="1"/>
  <c r="T28" i="6" s="1"/>
  <c r="O27" i="6"/>
  <c r="N27" i="6"/>
  <c r="L27" i="6"/>
  <c r="AA27" i="6" s="1"/>
  <c r="F27" i="6"/>
  <c r="S27" i="6" s="1"/>
  <c r="T27" i="6" s="1"/>
  <c r="AA26" i="6"/>
  <c r="S26" i="6"/>
  <c r="T26" i="6" s="1"/>
  <c r="Q26" i="6"/>
  <c r="O26" i="6"/>
  <c r="N26" i="6"/>
  <c r="L26" i="6"/>
  <c r="P26" i="6" s="1"/>
  <c r="G26" i="6"/>
  <c r="F26" i="6"/>
  <c r="O25" i="6"/>
  <c r="N25" i="6"/>
  <c r="L25" i="6"/>
  <c r="AA25" i="6" s="1"/>
  <c r="F25" i="6"/>
  <c r="M25" i="6" s="1"/>
  <c r="AA24" i="6"/>
  <c r="S24" i="6"/>
  <c r="T24" i="6" s="1"/>
  <c r="Q24" i="6"/>
  <c r="O24" i="6"/>
  <c r="N24" i="6"/>
  <c r="L24" i="6"/>
  <c r="P24" i="6" s="1"/>
  <c r="G24" i="6"/>
  <c r="F24" i="6"/>
  <c r="S23" i="6"/>
  <c r="T23" i="6" s="1"/>
  <c r="O23" i="6"/>
  <c r="N23" i="6"/>
  <c r="L23" i="6"/>
  <c r="AA23" i="6" s="1"/>
  <c r="G23" i="6"/>
  <c r="F23" i="6"/>
  <c r="M23" i="6" s="1"/>
  <c r="AA22" i="6"/>
  <c r="Q22" i="6"/>
  <c r="P22" i="6"/>
  <c r="O22" i="6"/>
  <c r="N22" i="6"/>
  <c r="L22" i="6"/>
  <c r="F22" i="6"/>
  <c r="O21" i="6"/>
  <c r="N21" i="6"/>
  <c r="M21" i="6"/>
  <c r="L21" i="6"/>
  <c r="F21" i="6"/>
  <c r="S21" i="6" s="1"/>
  <c r="T21" i="6" s="1"/>
  <c r="AA20" i="6"/>
  <c r="S20" i="6"/>
  <c r="T20" i="6" s="1"/>
  <c r="R20" i="6"/>
  <c r="Q20" i="6"/>
  <c r="P20" i="6"/>
  <c r="O20" i="6"/>
  <c r="N20" i="6"/>
  <c r="M20" i="6"/>
  <c r="L20" i="6"/>
  <c r="G20" i="6"/>
  <c r="F20" i="6"/>
  <c r="AA19" i="6"/>
  <c r="Q19" i="6"/>
  <c r="O19" i="6"/>
  <c r="N19" i="6"/>
  <c r="L19" i="6"/>
  <c r="P19" i="6" s="1"/>
  <c r="F19" i="6"/>
  <c r="S19" i="6" s="1"/>
  <c r="T19" i="6" s="1"/>
  <c r="S18" i="6"/>
  <c r="T18" i="6" s="1"/>
  <c r="P18" i="6"/>
  <c r="O18" i="6"/>
  <c r="N18" i="6"/>
  <c r="M18" i="6"/>
  <c r="L18" i="6"/>
  <c r="AA18" i="6" s="1"/>
  <c r="G18" i="6"/>
  <c r="F18" i="6"/>
  <c r="AA17" i="6"/>
  <c r="Q17" i="6"/>
  <c r="O17" i="6"/>
  <c r="N17" i="6"/>
  <c r="L17" i="6"/>
  <c r="P17" i="6" s="1"/>
  <c r="F17" i="6"/>
  <c r="S17" i="6" s="1"/>
  <c r="T17" i="6" s="1"/>
  <c r="S16" i="6"/>
  <c r="T16" i="6" s="1"/>
  <c r="P16" i="6"/>
  <c r="O16" i="6"/>
  <c r="N16" i="6"/>
  <c r="M16" i="6"/>
  <c r="L16" i="6"/>
  <c r="AA16" i="6" s="1"/>
  <c r="G16" i="6"/>
  <c r="F16" i="6"/>
  <c r="AA15" i="6"/>
  <c r="Q15" i="6"/>
  <c r="O15" i="6"/>
  <c r="N15" i="6"/>
  <c r="L15" i="6"/>
  <c r="P15" i="6" s="1"/>
  <c r="F15" i="6"/>
  <c r="S15" i="6" s="1"/>
  <c r="T15" i="6" s="1"/>
  <c r="S14" i="6"/>
  <c r="T14" i="6" s="1"/>
  <c r="P14" i="6"/>
  <c r="O14" i="6"/>
  <c r="N14" i="6"/>
  <c r="M14" i="6"/>
  <c r="L14" i="6"/>
  <c r="AA14" i="6" s="1"/>
  <c r="G14" i="6"/>
  <c r="F14" i="6"/>
  <c r="AA13" i="6"/>
  <c r="Q13" i="6"/>
  <c r="N13" i="6"/>
  <c r="L13" i="6"/>
  <c r="P13" i="6" s="1"/>
  <c r="F13" i="6"/>
  <c r="S13" i="6" s="1"/>
  <c r="T13" i="6" s="1"/>
  <c r="S12" i="6"/>
  <c r="P12" i="6"/>
  <c r="O12" i="6"/>
  <c r="N12" i="6"/>
  <c r="M12" i="6"/>
  <c r="L12" i="6"/>
  <c r="AA12" i="6" s="1"/>
  <c r="G12" i="6"/>
  <c r="V12" i="6" s="1"/>
  <c r="F12" i="6"/>
  <c r="J6" i="6"/>
  <c r="Q5" i="6"/>
  <c r="J5" i="6"/>
  <c r="I2" i="6"/>
  <c r="L104" i="6" s="1"/>
  <c r="C5" i="6" s="1"/>
  <c r="D15" i="1"/>
  <c r="D14" i="1"/>
  <c r="W89" i="5"/>
  <c r="S82" i="5"/>
  <c r="T82" i="5" s="1"/>
  <c r="U82" i="5" s="1"/>
  <c r="M82" i="5"/>
  <c r="L82" i="5"/>
  <c r="Q82" i="5" s="1"/>
  <c r="R82" i="5" s="1"/>
  <c r="F82" i="5"/>
  <c r="E82" i="5"/>
  <c r="Q81" i="5"/>
  <c r="P81" i="5"/>
  <c r="O81" i="5"/>
  <c r="N81" i="5"/>
  <c r="L81" i="5"/>
  <c r="F81" i="5"/>
  <c r="E81" i="5"/>
  <c r="T80" i="5"/>
  <c r="U80" i="5" s="1"/>
  <c r="S80" i="5"/>
  <c r="M80" i="5"/>
  <c r="L80" i="5"/>
  <c r="F80" i="5"/>
  <c r="E80" i="5"/>
  <c r="Q79" i="5"/>
  <c r="P79" i="5"/>
  <c r="O79" i="5"/>
  <c r="N79" i="5"/>
  <c r="L79" i="5"/>
  <c r="F79" i="5"/>
  <c r="E79" i="5"/>
  <c r="T78" i="5"/>
  <c r="U78" i="5" s="1"/>
  <c r="S78" i="5"/>
  <c r="M78" i="5"/>
  <c r="L78" i="5"/>
  <c r="F78" i="5"/>
  <c r="E78" i="5"/>
  <c r="Q77" i="5"/>
  <c r="P77" i="5"/>
  <c r="O77" i="5"/>
  <c r="N77" i="5"/>
  <c r="L77" i="5"/>
  <c r="F77" i="5"/>
  <c r="E77" i="5"/>
  <c r="T76" i="5"/>
  <c r="U76" i="5" s="1"/>
  <c r="S76" i="5"/>
  <c r="M76" i="5"/>
  <c r="L76" i="5"/>
  <c r="F76" i="5"/>
  <c r="E76" i="5"/>
  <c r="Q75" i="5"/>
  <c r="P75" i="5"/>
  <c r="O75" i="5"/>
  <c r="N75" i="5"/>
  <c r="L75" i="5"/>
  <c r="F75" i="5"/>
  <c r="E75" i="5"/>
  <c r="T74" i="5"/>
  <c r="U74" i="5" s="1"/>
  <c r="S74" i="5"/>
  <c r="M74" i="5"/>
  <c r="L74" i="5"/>
  <c r="F74" i="5"/>
  <c r="E74" i="5"/>
  <c r="Q73" i="5"/>
  <c r="P73" i="5"/>
  <c r="O73" i="5"/>
  <c r="N73" i="5"/>
  <c r="L73" i="5"/>
  <c r="F73" i="5"/>
  <c r="E73" i="5"/>
  <c r="T72" i="5"/>
  <c r="U72" i="5" s="1"/>
  <c r="S72" i="5"/>
  <c r="M72" i="5"/>
  <c r="L72" i="5"/>
  <c r="F72" i="5"/>
  <c r="E72" i="5"/>
  <c r="Q71" i="5"/>
  <c r="P71" i="5"/>
  <c r="O71" i="5"/>
  <c r="N71" i="5"/>
  <c r="L71" i="5"/>
  <c r="F71" i="5"/>
  <c r="E71" i="5"/>
  <c r="T70" i="5"/>
  <c r="U70" i="5" s="1"/>
  <c r="S70" i="5"/>
  <c r="M70" i="5"/>
  <c r="L70" i="5"/>
  <c r="F70" i="5"/>
  <c r="E70" i="5"/>
  <c r="Q69" i="5"/>
  <c r="P69" i="5"/>
  <c r="O69" i="5"/>
  <c r="N69" i="5"/>
  <c r="L69" i="5"/>
  <c r="F69" i="5"/>
  <c r="E69" i="5"/>
  <c r="T68" i="5"/>
  <c r="U68" i="5" s="1"/>
  <c r="S68" i="5"/>
  <c r="M68" i="5"/>
  <c r="L68" i="5"/>
  <c r="F68" i="5"/>
  <c r="E68" i="5"/>
  <c r="Q67" i="5"/>
  <c r="P67" i="5"/>
  <c r="O67" i="5"/>
  <c r="N67" i="5"/>
  <c r="L67" i="5"/>
  <c r="F67" i="5"/>
  <c r="E67" i="5"/>
  <c r="T66" i="5"/>
  <c r="U66" i="5" s="1"/>
  <c r="S66" i="5"/>
  <c r="M66" i="5"/>
  <c r="L66" i="5"/>
  <c r="F66" i="5"/>
  <c r="E66" i="5"/>
  <c r="Q65" i="5"/>
  <c r="P65" i="5"/>
  <c r="O65" i="5"/>
  <c r="N65" i="5"/>
  <c r="L65" i="5"/>
  <c r="F65" i="5"/>
  <c r="E65" i="5"/>
  <c r="T64" i="5"/>
  <c r="U64" i="5" s="1"/>
  <c r="S64" i="5"/>
  <c r="M64" i="5"/>
  <c r="L64" i="5"/>
  <c r="F64" i="5"/>
  <c r="E64" i="5"/>
  <c r="Q63" i="5"/>
  <c r="P63" i="5"/>
  <c r="O63" i="5"/>
  <c r="N63" i="5"/>
  <c r="L63" i="5"/>
  <c r="F63" i="5"/>
  <c r="E63" i="5"/>
  <c r="S62" i="5"/>
  <c r="T62" i="5" s="1"/>
  <c r="U62" i="5" s="1"/>
  <c r="M62" i="5"/>
  <c r="L62" i="5"/>
  <c r="F62" i="5"/>
  <c r="E62" i="5"/>
  <c r="X61" i="5"/>
  <c r="Q61" i="5"/>
  <c r="P61" i="5"/>
  <c r="O61" i="5"/>
  <c r="N61" i="5"/>
  <c r="L61" i="5"/>
  <c r="G61" i="5"/>
  <c r="F61" i="5"/>
  <c r="M61" i="5" s="1"/>
  <c r="E61" i="5"/>
  <c r="U60" i="5"/>
  <c r="S60" i="5"/>
  <c r="T60" i="5" s="1"/>
  <c r="M60" i="5"/>
  <c r="L60" i="5"/>
  <c r="F60" i="5"/>
  <c r="E60" i="5"/>
  <c r="S59" i="5"/>
  <c r="T59" i="5" s="1"/>
  <c r="U59" i="5" s="1"/>
  <c r="Q59" i="5"/>
  <c r="R59" i="5" s="1"/>
  <c r="P59" i="5"/>
  <c r="O59" i="5"/>
  <c r="L59" i="5"/>
  <c r="N59" i="5" s="1"/>
  <c r="G59" i="5"/>
  <c r="F59" i="5"/>
  <c r="M59" i="5" s="1"/>
  <c r="E59" i="5"/>
  <c r="L58" i="5"/>
  <c r="O58" i="5" s="1"/>
  <c r="F58" i="5"/>
  <c r="E58" i="5"/>
  <c r="S57" i="5"/>
  <c r="T57" i="5" s="1"/>
  <c r="U57" i="5" s="1"/>
  <c r="Q57" i="5"/>
  <c r="R57" i="5" s="1"/>
  <c r="P57" i="5"/>
  <c r="O57" i="5"/>
  <c r="L57" i="5"/>
  <c r="N57" i="5" s="1"/>
  <c r="G57" i="5"/>
  <c r="F57" i="5"/>
  <c r="M57" i="5" s="1"/>
  <c r="E57" i="5"/>
  <c r="U56" i="5"/>
  <c r="N56" i="5"/>
  <c r="M56" i="5"/>
  <c r="L56" i="5"/>
  <c r="G56" i="5"/>
  <c r="F56" i="5"/>
  <c r="E56" i="5"/>
  <c r="S56" i="5" s="1"/>
  <c r="T56" i="5" s="1"/>
  <c r="S55" i="5"/>
  <c r="T55" i="5" s="1"/>
  <c r="U55" i="5" s="1"/>
  <c r="Q55" i="5"/>
  <c r="P55" i="5"/>
  <c r="O55" i="5"/>
  <c r="L55" i="5"/>
  <c r="N55" i="5" s="1"/>
  <c r="G55" i="5"/>
  <c r="F55" i="5"/>
  <c r="M55" i="5" s="1"/>
  <c r="R55" i="5" s="1"/>
  <c r="E55" i="5"/>
  <c r="N54" i="5"/>
  <c r="L54" i="5"/>
  <c r="O54" i="5" s="1"/>
  <c r="G54" i="5"/>
  <c r="F54" i="5"/>
  <c r="M54" i="5" s="1"/>
  <c r="E54" i="5"/>
  <c r="S54" i="5" s="1"/>
  <c r="T54" i="5" s="1"/>
  <c r="U54" i="5" s="1"/>
  <c r="S53" i="5"/>
  <c r="T53" i="5" s="1"/>
  <c r="U53" i="5" s="1"/>
  <c r="Q53" i="5"/>
  <c r="R53" i="5" s="1"/>
  <c r="P53" i="5"/>
  <c r="O53" i="5"/>
  <c r="L53" i="5"/>
  <c r="N53" i="5" s="1"/>
  <c r="G53" i="5"/>
  <c r="F53" i="5"/>
  <c r="M53" i="5" s="1"/>
  <c r="E53" i="5"/>
  <c r="U52" i="5"/>
  <c r="N52" i="5"/>
  <c r="M52" i="5"/>
  <c r="L52" i="5"/>
  <c r="G52" i="5"/>
  <c r="F52" i="5"/>
  <c r="E52" i="5"/>
  <c r="S52" i="5" s="1"/>
  <c r="T52" i="5" s="1"/>
  <c r="S51" i="5"/>
  <c r="T51" i="5" s="1"/>
  <c r="U51" i="5" s="1"/>
  <c r="Q51" i="5"/>
  <c r="P51" i="5"/>
  <c r="O51" i="5"/>
  <c r="L51" i="5"/>
  <c r="N51" i="5" s="1"/>
  <c r="G51" i="5"/>
  <c r="F51" i="5"/>
  <c r="M51" i="5" s="1"/>
  <c r="R51" i="5" s="1"/>
  <c r="E51" i="5"/>
  <c r="N50" i="5"/>
  <c r="L50" i="5"/>
  <c r="O50" i="5" s="1"/>
  <c r="F50" i="5"/>
  <c r="M50" i="5" s="1"/>
  <c r="E50" i="5"/>
  <c r="T49" i="5"/>
  <c r="U49" i="5" s="1"/>
  <c r="S49" i="5"/>
  <c r="P49" i="5"/>
  <c r="L49" i="5"/>
  <c r="N49" i="5" s="1"/>
  <c r="G49" i="5"/>
  <c r="F49" i="5"/>
  <c r="M49" i="5" s="1"/>
  <c r="E49" i="5"/>
  <c r="N48" i="5"/>
  <c r="L48" i="5"/>
  <c r="Q48" i="5" s="1"/>
  <c r="F48" i="5"/>
  <c r="G48" i="5" s="1"/>
  <c r="E48" i="5"/>
  <c r="S48" i="5" s="1"/>
  <c r="T48" i="5" s="1"/>
  <c r="U48" i="5" s="1"/>
  <c r="Q47" i="5"/>
  <c r="R47" i="5" s="1"/>
  <c r="P47" i="5"/>
  <c r="N47" i="5"/>
  <c r="L47" i="5"/>
  <c r="O47" i="5" s="1"/>
  <c r="G47" i="5"/>
  <c r="F47" i="5"/>
  <c r="M47" i="5" s="1"/>
  <c r="E47" i="5"/>
  <c r="S46" i="5"/>
  <c r="T46" i="5" s="1"/>
  <c r="U46" i="5" s="1"/>
  <c r="Q46" i="5"/>
  <c r="R46" i="5" s="1"/>
  <c r="O46" i="5"/>
  <c r="M46" i="5"/>
  <c r="L46" i="5"/>
  <c r="P46" i="5" s="1"/>
  <c r="G46" i="5"/>
  <c r="F46" i="5"/>
  <c r="E46" i="5"/>
  <c r="X45" i="5"/>
  <c r="L45" i="5"/>
  <c r="F45" i="5"/>
  <c r="G45" i="5" s="1"/>
  <c r="E45" i="5"/>
  <c r="T44" i="5"/>
  <c r="U44" i="5" s="1"/>
  <c r="M44" i="5"/>
  <c r="L44" i="5"/>
  <c r="F44" i="5"/>
  <c r="S44" i="5" s="1"/>
  <c r="E44" i="5"/>
  <c r="P43" i="5"/>
  <c r="L43" i="5"/>
  <c r="F43" i="5"/>
  <c r="G43" i="5" s="1"/>
  <c r="E43" i="5"/>
  <c r="T42" i="5"/>
  <c r="U42" i="5" s="1"/>
  <c r="P42" i="5"/>
  <c r="M42" i="5"/>
  <c r="L42" i="5"/>
  <c r="F42" i="5"/>
  <c r="S42" i="5" s="1"/>
  <c r="E42" i="5"/>
  <c r="P41" i="5"/>
  <c r="L41" i="5"/>
  <c r="F41" i="5"/>
  <c r="G41" i="5" s="1"/>
  <c r="E41" i="5"/>
  <c r="T40" i="5"/>
  <c r="U40" i="5" s="1"/>
  <c r="P40" i="5"/>
  <c r="M40" i="5"/>
  <c r="L40" i="5"/>
  <c r="F40" i="5"/>
  <c r="S40" i="5" s="1"/>
  <c r="E40" i="5"/>
  <c r="Q39" i="5"/>
  <c r="P39" i="5"/>
  <c r="O39" i="5"/>
  <c r="N39" i="5"/>
  <c r="M39" i="5"/>
  <c r="L39" i="5"/>
  <c r="F39" i="5"/>
  <c r="S39" i="5" s="1"/>
  <c r="T39" i="5" s="1"/>
  <c r="U39" i="5" s="1"/>
  <c r="E39" i="5"/>
  <c r="G39" i="5" s="1"/>
  <c r="Q38" i="5"/>
  <c r="O38" i="5"/>
  <c r="N38" i="5"/>
  <c r="M38" i="5"/>
  <c r="L38" i="5"/>
  <c r="P38" i="5" s="1"/>
  <c r="F38" i="5"/>
  <c r="E38" i="5"/>
  <c r="S38" i="5" s="1"/>
  <c r="T38" i="5" s="1"/>
  <c r="U38" i="5" s="1"/>
  <c r="Q37" i="5"/>
  <c r="P37" i="5"/>
  <c r="O37" i="5"/>
  <c r="N37" i="5"/>
  <c r="M37" i="5"/>
  <c r="L37" i="5"/>
  <c r="F37" i="5"/>
  <c r="S37" i="5" s="1"/>
  <c r="T37" i="5" s="1"/>
  <c r="U37" i="5" s="1"/>
  <c r="E37" i="5"/>
  <c r="G37" i="5" s="1"/>
  <c r="Q36" i="5"/>
  <c r="O36" i="5"/>
  <c r="N36" i="5"/>
  <c r="M36" i="5"/>
  <c r="L36" i="5"/>
  <c r="P36" i="5" s="1"/>
  <c r="F36" i="5"/>
  <c r="E36" i="5"/>
  <c r="S36" i="5" s="1"/>
  <c r="T36" i="5" s="1"/>
  <c r="U36" i="5" s="1"/>
  <c r="Q35" i="5"/>
  <c r="R35" i="5" s="1"/>
  <c r="P35" i="5"/>
  <c r="O35" i="5"/>
  <c r="N35" i="5"/>
  <c r="M35" i="5"/>
  <c r="L35" i="5"/>
  <c r="F35" i="5"/>
  <c r="S35" i="5" s="1"/>
  <c r="T35" i="5" s="1"/>
  <c r="U35" i="5" s="1"/>
  <c r="E35" i="5"/>
  <c r="G35" i="5" s="1"/>
  <c r="Q34" i="5"/>
  <c r="R34" i="5" s="1"/>
  <c r="O34" i="5"/>
  <c r="N34" i="5"/>
  <c r="M34" i="5"/>
  <c r="L34" i="5"/>
  <c r="P34" i="5" s="1"/>
  <c r="F34" i="5"/>
  <c r="E34" i="5"/>
  <c r="Q33" i="5"/>
  <c r="R33" i="5" s="1"/>
  <c r="P33" i="5"/>
  <c r="O33" i="5"/>
  <c r="N33" i="5"/>
  <c r="M33" i="5"/>
  <c r="L33" i="5"/>
  <c r="F33" i="5"/>
  <c r="E33" i="5"/>
  <c r="G33" i="5" s="1"/>
  <c r="Q32" i="5"/>
  <c r="N32" i="5"/>
  <c r="M32" i="5"/>
  <c r="L32" i="5"/>
  <c r="O32" i="5" s="1"/>
  <c r="F32" i="5"/>
  <c r="E32" i="5"/>
  <c r="Q31" i="5"/>
  <c r="P31" i="5"/>
  <c r="O31" i="5"/>
  <c r="N31" i="5"/>
  <c r="M31" i="5"/>
  <c r="L31" i="5"/>
  <c r="F31" i="5"/>
  <c r="E31" i="5"/>
  <c r="G31" i="5" s="1"/>
  <c r="Q30" i="5"/>
  <c r="N30" i="5"/>
  <c r="L30" i="5"/>
  <c r="O30" i="5" s="1"/>
  <c r="F30" i="5"/>
  <c r="S30" i="5" s="1"/>
  <c r="T30" i="5" s="1"/>
  <c r="U30" i="5" s="1"/>
  <c r="E30" i="5"/>
  <c r="Q29" i="5"/>
  <c r="R29" i="5" s="1"/>
  <c r="P29" i="5"/>
  <c r="O29" i="5"/>
  <c r="N29" i="5"/>
  <c r="M29" i="5"/>
  <c r="L29" i="5"/>
  <c r="G29" i="5"/>
  <c r="F29" i="5"/>
  <c r="E29" i="5"/>
  <c r="Q28" i="5"/>
  <c r="R28" i="5" s="1"/>
  <c r="N28" i="5"/>
  <c r="M28" i="5"/>
  <c r="L28" i="5"/>
  <c r="O28" i="5" s="1"/>
  <c r="F28" i="5"/>
  <c r="S28" i="5" s="1"/>
  <c r="T28" i="5" s="1"/>
  <c r="U28" i="5" s="1"/>
  <c r="E28" i="5"/>
  <c r="R27" i="5"/>
  <c r="Q27" i="5"/>
  <c r="P27" i="5"/>
  <c r="O27" i="5"/>
  <c r="N27" i="5"/>
  <c r="M27" i="5"/>
  <c r="L27" i="5"/>
  <c r="F27" i="5"/>
  <c r="E27" i="5"/>
  <c r="G27" i="5" s="1"/>
  <c r="S26" i="5"/>
  <c r="T26" i="5" s="1"/>
  <c r="U26" i="5" s="1"/>
  <c r="Q26" i="5"/>
  <c r="N26" i="5"/>
  <c r="L26" i="5"/>
  <c r="O26" i="5" s="1"/>
  <c r="F26" i="5"/>
  <c r="E26" i="5"/>
  <c r="Q25" i="5"/>
  <c r="P25" i="5"/>
  <c r="O25" i="5"/>
  <c r="N25" i="5"/>
  <c r="L25" i="5"/>
  <c r="F25" i="5"/>
  <c r="M25" i="5" s="1"/>
  <c r="R25" i="5" s="1"/>
  <c r="E25" i="5"/>
  <c r="S24" i="5"/>
  <c r="T24" i="5" s="1"/>
  <c r="U24" i="5" s="1"/>
  <c r="O24" i="5"/>
  <c r="L24" i="5"/>
  <c r="G24" i="5"/>
  <c r="F24" i="5"/>
  <c r="E24" i="5"/>
  <c r="Q23" i="5"/>
  <c r="R23" i="5" s="1"/>
  <c r="P23" i="5"/>
  <c r="O23" i="5"/>
  <c r="N23" i="5"/>
  <c r="L23" i="5"/>
  <c r="F23" i="5"/>
  <c r="M23" i="5" s="1"/>
  <c r="E23" i="5"/>
  <c r="S22" i="5"/>
  <c r="T22" i="5" s="1"/>
  <c r="U22" i="5" s="1"/>
  <c r="O22" i="5"/>
  <c r="L22" i="5"/>
  <c r="G22" i="5"/>
  <c r="F22" i="5"/>
  <c r="E22" i="5"/>
  <c r="R21" i="5"/>
  <c r="Q21" i="5"/>
  <c r="P21" i="5"/>
  <c r="L21" i="5"/>
  <c r="O21" i="5" s="1"/>
  <c r="G21" i="5"/>
  <c r="F21" i="5"/>
  <c r="M21" i="5" s="1"/>
  <c r="E21" i="5"/>
  <c r="M20" i="5"/>
  <c r="L20" i="5"/>
  <c r="Q20" i="5" s="1"/>
  <c r="R20" i="5" s="1"/>
  <c r="F20" i="5"/>
  <c r="E20" i="5"/>
  <c r="S20" i="5" s="1"/>
  <c r="T20" i="5" s="1"/>
  <c r="U20" i="5" s="1"/>
  <c r="T19" i="5"/>
  <c r="U19" i="5" s="1"/>
  <c r="S19" i="5"/>
  <c r="Q19" i="5"/>
  <c r="P19" i="5"/>
  <c r="O19" i="5"/>
  <c r="L19" i="5"/>
  <c r="N19" i="5" s="1"/>
  <c r="G19" i="5"/>
  <c r="F19" i="5"/>
  <c r="M19" i="5" s="1"/>
  <c r="E19" i="5"/>
  <c r="M18" i="5"/>
  <c r="L18" i="5"/>
  <c r="Q18" i="5" s="1"/>
  <c r="R18" i="5" s="1"/>
  <c r="F18" i="5"/>
  <c r="E18" i="5"/>
  <c r="S18" i="5" s="1"/>
  <c r="T18" i="5" s="1"/>
  <c r="U18" i="5" s="1"/>
  <c r="R17" i="5"/>
  <c r="Q17" i="5"/>
  <c r="P17" i="5"/>
  <c r="M17" i="5"/>
  <c r="L17" i="5"/>
  <c r="O17" i="5" s="1"/>
  <c r="F17" i="5"/>
  <c r="G17" i="5" s="1"/>
  <c r="E17" i="5"/>
  <c r="N16" i="5"/>
  <c r="L16" i="5"/>
  <c r="Q16" i="5" s="1"/>
  <c r="F16" i="5"/>
  <c r="X17" i="5" s="1"/>
  <c r="E16" i="5"/>
  <c r="S15" i="5"/>
  <c r="T15" i="5" s="1"/>
  <c r="U15" i="5" s="1"/>
  <c r="Q15" i="5"/>
  <c r="O15" i="5"/>
  <c r="N15" i="5"/>
  <c r="L15" i="5"/>
  <c r="P15" i="5" s="1"/>
  <c r="F15" i="5"/>
  <c r="E15" i="5"/>
  <c r="Q14" i="5"/>
  <c r="O14" i="5"/>
  <c r="N14" i="5"/>
  <c r="M14" i="5"/>
  <c r="R14" i="5" s="1"/>
  <c r="L14" i="5"/>
  <c r="P14" i="5" s="1"/>
  <c r="G14" i="5"/>
  <c r="F14" i="5"/>
  <c r="X15" i="5" s="1"/>
  <c r="E14" i="5"/>
  <c r="S13" i="5"/>
  <c r="T13" i="5" s="1"/>
  <c r="U13" i="5" s="1"/>
  <c r="Q13" i="5"/>
  <c r="O13" i="5"/>
  <c r="N13" i="5"/>
  <c r="L13" i="5"/>
  <c r="P13" i="5" s="1"/>
  <c r="F13" i="5"/>
  <c r="E13" i="5"/>
  <c r="Q12" i="5"/>
  <c r="O12" i="5"/>
  <c r="N12" i="5"/>
  <c r="M12" i="5"/>
  <c r="R12" i="5" s="1"/>
  <c r="L12" i="5"/>
  <c r="P12" i="5" s="1"/>
  <c r="G12" i="5"/>
  <c r="F12" i="5"/>
  <c r="J7" i="5"/>
  <c r="I3" i="5"/>
  <c r="L2" i="5"/>
  <c r="B7" i="5" s="1"/>
  <c r="L119" i="4"/>
  <c r="L121" i="4" s="1"/>
  <c r="K119" i="4"/>
  <c r="J99" i="4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J110" i="4" s="1"/>
  <c r="J111" i="4" s="1"/>
  <c r="J112" i="4" s="1"/>
  <c r="J113" i="4" s="1"/>
  <c r="J114" i="4" s="1"/>
  <c r="J115" i="4" s="1"/>
  <c r="J116" i="4" s="1"/>
  <c r="J117" i="4" s="1"/>
  <c r="I88" i="4"/>
  <c r="I89" i="4" s="1"/>
  <c r="K84" i="4"/>
  <c r="D83" i="4"/>
  <c r="S81" i="4"/>
  <c r="R81" i="4"/>
  <c r="M81" i="4"/>
  <c r="L81" i="4"/>
  <c r="Q81" i="4" s="1"/>
  <c r="T81" i="4" s="1"/>
  <c r="F81" i="4"/>
  <c r="E81" i="4"/>
  <c r="U81" i="4" s="1"/>
  <c r="V81" i="4" s="1"/>
  <c r="S80" i="4"/>
  <c r="R80" i="4"/>
  <c r="Q80" i="4"/>
  <c r="L80" i="4"/>
  <c r="P80" i="4" s="1"/>
  <c r="F80" i="4"/>
  <c r="G80" i="4" s="1"/>
  <c r="E80" i="4"/>
  <c r="R79" i="4"/>
  <c r="S79" i="4" s="1"/>
  <c r="Q79" i="4"/>
  <c r="P79" i="4"/>
  <c r="O79" i="4"/>
  <c r="N79" i="4"/>
  <c r="L79" i="4"/>
  <c r="G79" i="4"/>
  <c r="F79" i="4"/>
  <c r="U79" i="4" s="1"/>
  <c r="V79" i="4" s="1"/>
  <c r="E79" i="4"/>
  <c r="R78" i="4"/>
  <c r="S78" i="4" s="1"/>
  <c r="O78" i="4"/>
  <c r="N78" i="4"/>
  <c r="M78" i="4"/>
  <c r="L78" i="4"/>
  <c r="Q78" i="4" s="1"/>
  <c r="T78" i="4" s="1"/>
  <c r="F78" i="4"/>
  <c r="E78" i="4"/>
  <c r="G78" i="4" s="1"/>
  <c r="S77" i="4"/>
  <c r="R77" i="4"/>
  <c r="M77" i="4"/>
  <c r="L77" i="4"/>
  <c r="Q77" i="4" s="1"/>
  <c r="T77" i="4" s="1"/>
  <c r="F77" i="4"/>
  <c r="E77" i="4"/>
  <c r="U77" i="4" s="1"/>
  <c r="V77" i="4" s="1"/>
  <c r="S76" i="4"/>
  <c r="R76" i="4"/>
  <c r="Q76" i="4"/>
  <c r="P76" i="4"/>
  <c r="L76" i="4"/>
  <c r="O76" i="4" s="1"/>
  <c r="F76" i="4"/>
  <c r="G76" i="4" s="1"/>
  <c r="E76" i="4"/>
  <c r="R75" i="4"/>
  <c r="S75" i="4" s="1"/>
  <c r="Q75" i="4"/>
  <c r="P75" i="4"/>
  <c r="O75" i="4"/>
  <c r="N75" i="4"/>
  <c r="L75" i="4"/>
  <c r="G75" i="4"/>
  <c r="F75" i="4"/>
  <c r="U75" i="4" s="1"/>
  <c r="V75" i="4" s="1"/>
  <c r="E75" i="4"/>
  <c r="R74" i="4"/>
  <c r="S74" i="4" s="1"/>
  <c r="O74" i="4"/>
  <c r="N74" i="4"/>
  <c r="M74" i="4"/>
  <c r="L74" i="4"/>
  <c r="Q74" i="4" s="1"/>
  <c r="T74" i="4" s="1"/>
  <c r="F74" i="4"/>
  <c r="E74" i="4"/>
  <c r="U74" i="4" s="1"/>
  <c r="V74" i="4" s="1"/>
  <c r="U73" i="4"/>
  <c r="V73" i="4" s="1"/>
  <c r="S73" i="4"/>
  <c r="R73" i="4"/>
  <c r="M73" i="4"/>
  <c r="L73" i="4"/>
  <c r="Q73" i="4" s="1"/>
  <c r="T73" i="4" s="1"/>
  <c r="F73" i="4"/>
  <c r="E73" i="4"/>
  <c r="S72" i="4"/>
  <c r="R72" i="4"/>
  <c r="Q72" i="4"/>
  <c r="P72" i="4"/>
  <c r="L72" i="4"/>
  <c r="O72" i="4" s="1"/>
  <c r="F72" i="4"/>
  <c r="G72" i="4" s="1"/>
  <c r="E72" i="4"/>
  <c r="R71" i="4"/>
  <c r="S71" i="4" s="1"/>
  <c r="Q71" i="4"/>
  <c r="P71" i="4"/>
  <c r="O71" i="4"/>
  <c r="N71" i="4"/>
  <c r="L71" i="4"/>
  <c r="G71" i="4"/>
  <c r="F71" i="4"/>
  <c r="U71" i="4" s="1"/>
  <c r="V71" i="4" s="1"/>
  <c r="E71" i="4"/>
  <c r="R70" i="4"/>
  <c r="S70" i="4" s="1"/>
  <c r="O70" i="4"/>
  <c r="N70" i="4"/>
  <c r="M70" i="4"/>
  <c r="L70" i="4"/>
  <c r="Q70" i="4" s="1"/>
  <c r="G70" i="4"/>
  <c r="F70" i="4"/>
  <c r="E70" i="4"/>
  <c r="U70" i="4" s="1"/>
  <c r="V70" i="4" s="1"/>
  <c r="S69" i="4"/>
  <c r="R69" i="4"/>
  <c r="M69" i="4"/>
  <c r="L69" i="4"/>
  <c r="F69" i="4"/>
  <c r="E69" i="4"/>
  <c r="U69" i="4" s="1"/>
  <c r="V69" i="4" s="1"/>
  <c r="S68" i="4"/>
  <c r="R68" i="4"/>
  <c r="Q68" i="4"/>
  <c r="P68" i="4"/>
  <c r="L68" i="4"/>
  <c r="O68" i="4" s="1"/>
  <c r="F68" i="4"/>
  <c r="G68" i="4" s="1"/>
  <c r="E68" i="4"/>
  <c r="R67" i="4"/>
  <c r="S67" i="4" s="1"/>
  <c r="Q67" i="4"/>
  <c r="P67" i="4"/>
  <c r="O67" i="4"/>
  <c r="N67" i="4"/>
  <c r="L67" i="4"/>
  <c r="G67" i="4"/>
  <c r="F67" i="4"/>
  <c r="U67" i="4" s="1"/>
  <c r="V67" i="4" s="1"/>
  <c r="E67" i="4"/>
  <c r="U66" i="4"/>
  <c r="V66" i="4" s="1"/>
  <c r="R66" i="4"/>
  <c r="S66" i="4" s="1"/>
  <c r="O66" i="4"/>
  <c r="N66" i="4"/>
  <c r="M66" i="4"/>
  <c r="L66" i="4"/>
  <c r="Q66" i="4" s="1"/>
  <c r="F66" i="4"/>
  <c r="E66" i="4"/>
  <c r="G66" i="4" s="1"/>
  <c r="S65" i="4"/>
  <c r="R65" i="4"/>
  <c r="M65" i="4"/>
  <c r="L65" i="4"/>
  <c r="F65" i="4"/>
  <c r="E65" i="4"/>
  <c r="U65" i="4" s="1"/>
  <c r="V65" i="4" s="1"/>
  <c r="S64" i="4"/>
  <c r="R64" i="4"/>
  <c r="Q64" i="4"/>
  <c r="P64" i="4"/>
  <c r="L64" i="4"/>
  <c r="O64" i="4" s="1"/>
  <c r="F64" i="4"/>
  <c r="G64" i="4" s="1"/>
  <c r="E64" i="4"/>
  <c r="R63" i="4"/>
  <c r="S63" i="4" s="1"/>
  <c r="Q63" i="4"/>
  <c r="T63" i="4" s="1"/>
  <c r="P63" i="4"/>
  <c r="O63" i="4"/>
  <c r="M63" i="4"/>
  <c r="L63" i="4"/>
  <c r="N63" i="4" s="1"/>
  <c r="G63" i="4"/>
  <c r="F63" i="4"/>
  <c r="E63" i="4"/>
  <c r="U63" i="4" s="1"/>
  <c r="V63" i="4" s="1"/>
  <c r="S62" i="4"/>
  <c r="R62" i="4"/>
  <c r="Q62" i="4"/>
  <c r="P62" i="4"/>
  <c r="O62" i="4"/>
  <c r="N62" i="4"/>
  <c r="L62" i="4"/>
  <c r="F62" i="4"/>
  <c r="M62" i="4" s="1"/>
  <c r="E62" i="4"/>
  <c r="U62" i="4" s="1"/>
  <c r="V62" i="4" s="1"/>
  <c r="S61" i="4"/>
  <c r="R61" i="4"/>
  <c r="L61" i="4"/>
  <c r="F61" i="4"/>
  <c r="E61" i="4"/>
  <c r="U60" i="4"/>
  <c r="V60" i="4" s="1"/>
  <c r="S60" i="4"/>
  <c r="R60" i="4"/>
  <c r="M60" i="4"/>
  <c r="L60" i="4"/>
  <c r="F60" i="4"/>
  <c r="E60" i="4"/>
  <c r="R59" i="4"/>
  <c r="S59" i="4" s="1"/>
  <c r="L59" i="4"/>
  <c r="F59" i="4"/>
  <c r="G59" i="4" s="1"/>
  <c r="E59" i="4"/>
  <c r="R58" i="4"/>
  <c r="S58" i="4" s="1"/>
  <c r="Q58" i="4"/>
  <c r="P58" i="4"/>
  <c r="O58" i="4"/>
  <c r="N58" i="4"/>
  <c r="L58" i="4"/>
  <c r="G58" i="4"/>
  <c r="F58" i="4"/>
  <c r="E58" i="4"/>
  <c r="V57" i="4"/>
  <c r="R57" i="4"/>
  <c r="S57" i="4" s="1"/>
  <c r="N57" i="4"/>
  <c r="L57" i="4"/>
  <c r="F57" i="4"/>
  <c r="U57" i="4" s="1"/>
  <c r="E57" i="4"/>
  <c r="R56" i="4"/>
  <c r="S56" i="4" s="1"/>
  <c r="N56" i="4"/>
  <c r="L56" i="4"/>
  <c r="F56" i="4"/>
  <c r="E56" i="4"/>
  <c r="S55" i="4"/>
  <c r="R55" i="4"/>
  <c r="Q55" i="4"/>
  <c r="L55" i="4"/>
  <c r="F55" i="4"/>
  <c r="G55" i="4" s="1"/>
  <c r="E55" i="4"/>
  <c r="Z54" i="4"/>
  <c r="S54" i="4"/>
  <c r="R54" i="4"/>
  <c r="Q54" i="4"/>
  <c r="T54" i="4" s="1"/>
  <c r="P54" i="4"/>
  <c r="O54" i="4"/>
  <c r="M54" i="4"/>
  <c r="L54" i="4"/>
  <c r="N54" i="4" s="1"/>
  <c r="G54" i="4"/>
  <c r="F54" i="4"/>
  <c r="E54" i="4"/>
  <c r="U54" i="4" s="1"/>
  <c r="V54" i="4" s="1"/>
  <c r="U53" i="4"/>
  <c r="V53" i="4" s="1"/>
  <c r="S53" i="4"/>
  <c r="R53" i="4"/>
  <c r="Q53" i="4"/>
  <c r="T53" i="4" s="1"/>
  <c r="P53" i="4"/>
  <c r="O53" i="4"/>
  <c r="N53" i="4"/>
  <c r="L53" i="4"/>
  <c r="G53" i="4"/>
  <c r="F53" i="4"/>
  <c r="M53" i="4" s="1"/>
  <c r="E53" i="4"/>
  <c r="S52" i="4"/>
  <c r="R52" i="4"/>
  <c r="Q52" i="4"/>
  <c r="O52" i="4"/>
  <c r="M52" i="4"/>
  <c r="T52" i="4" s="1"/>
  <c r="L52" i="4"/>
  <c r="P52" i="4" s="1"/>
  <c r="F52" i="4"/>
  <c r="E52" i="4"/>
  <c r="G52" i="4" s="1"/>
  <c r="U51" i="4"/>
  <c r="V51" i="4" s="1"/>
  <c r="T51" i="4"/>
  <c r="S51" i="4"/>
  <c r="R51" i="4"/>
  <c r="Q51" i="4"/>
  <c r="M51" i="4"/>
  <c r="L51" i="4"/>
  <c r="O51" i="4" s="1"/>
  <c r="G51" i="4"/>
  <c r="F51" i="4"/>
  <c r="E51" i="4"/>
  <c r="R50" i="4"/>
  <c r="S50" i="4" s="1"/>
  <c r="Q50" i="4"/>
  <c r="P50" i="4"/>
  <c r="O50" i="4"/>
  <c r="M50" i="4"/>
  <c r="L50" i="4"/>
  <c r="N50" i="4" s="1"/>
  <c r="F50" i="4"/>
  <c r="E50" i="4"/>
  <c r="U50" i="4" s="1"/>
  <c r="V50" i="4" s="1"/>
  <c r="S49" i="4"/>
  <c r="R49" i="4"/>
  <c r="Q49" i="4"/>
  <c r="P49" i="4"/>
  <c r="O49" i="4"/>
  <c r="N49" i="4"/>
  <c r="M49" i="4"/>
  <c r="L49" i="4"/>
  <c r="G49" i="4"/>
  <c r="F49" i="4"/>
  <c r="U49" i="4" s="1"/>
  <c r="V49" i="4" s="1"/>
  <c r="E49" i="4"/>
  <c r="S48" i="4"/>
  <c r="R48" i="4"/>
  <c r="Q48" i="4"/>
  <c r="O48" i="4"/>
  <c r="L48" i="4"/>
  <c r="P48" i="4" s="1"/>
  <c r="F48" i="4"/>
  <c r="M48" i="4" s="1"/>
  <c r="T48" i="4" s="1"/>
  <c r="E48" i="4"/>
  <c r="S47" i="4"/>
  <c r="R47" i="4"/>
  <c r="Q47" i="4"/>
  <c r="P47" i="4"/>
  <c r="O47" i="4"/>
  <c r="N47" i="4"/>
  <c r="M47" i="4"/>
  <c r="L47" i="4"/>
  <c r="F47" i="4"/>
  <c r="E47" i="4"/>
  <c r="G47" i="4" s="1"/>
  <c r="S46" i="4"/>
  <c r="R46" i="4"/>
  <c r="Q46" i="4"/>
  <c r="O46" i="4"/>
  <c r="N46" i="4"/>
  <c r="L46" i="4"/>
  <c r="P46" i="4" s="1"/>
  <c r="F46" i="4"/>
  <c r="M46" i="4" s="1"/>
  <c r="E46" i="4"/>
  <c r="U46" i="4" s="1"/>
  <c r="V46" i="4" s="1"/>
  <c r="U45" i="4"/>
  <c r="V45" i="4" s="1"/>
  <c r="S45" i="4"/>
  <c r="R45" i="4"/>
  <c r="Q45" i="4"/>
  <c r="O45" i="4"/>
  <c r="M45" i="4"/>
  <c r="T45" i="4" s="1"/>
  <c r="L45" i="4"/>
  <c r="G45" i="4"/>
  <c r="F45" i="4"/>
  <c r="E45" i="4"/>
  <c r="R44" i="4"/>
  <c r="S44" i="4" s="1"/>
  <c r="Q44" i="4"/>
  <c r="P44" i="4"/>
  <c r="O44" i="4"/>
  <c r="M44" i="4"/>
  <c r="L44" i="4"/>
  <c r="N44" i="4" s="1"/>
  <c r="F44" i="4"/>
  <c r="E44" i="4"/>
  <c r="G44" i="4" s="1"/>
  <c r="U43" i="4"/>
  <c r="V43" i="4" s="1"/>
  <c r="S43" i="4"/>
  <c r="R43" i="4"/>
  <c r="Q43" i="4"/>
  <c r="P43" i="4"/>
  <c r="O43" i="4"/>
  <c r="N43" i="4"/>
  <c r="M43" i="4"/>
  <c r="L43" i="4"/>
  <c r="G43" i="4"/>
  <c r="F43" i="4"/>
  <c r="E43" i="4"/>
  <c r="S42" i="4"/>
  <c r="R42" i="4"/>
  <c r="Q42" i="4"/>
  <c r="O42" i="4"/>
  <c r="N42" i="4"/>
  <c r="L42" i="4"/>
  <c r="P42" i="4" s="1"/>
  <c r="F42" i="4"/>
  <c r="E42" i="4"/>
  <c r="S41" i="4"/>
  <c r="R41" i="4"/>
  <c r="Q41" i="4"/>
  <c r="T41" i="4" s="1"/>
  <c r="M41" i="4"/>
  <c r="L41" i="4"/>
  <c r="O41" i="4" s="1"/>
  <c r="F41" i="4"/>
  <c r="E41" i="4"/>
  <c r="U41" i="4" s="1"/>
  <c r="V41" i="4" s="1"/>
  <c r="U40" i="4"/>
  <c r="V40" i="4" s="1"/>
  <c r="R40" i="4"/>
  <c r="S40" i="4" s="1"/>
  <c r="Q40" i="4"/>
  <c r="T40" i="4" s="1"/>
  <c r="P40" i="4"/>
  <c r="O40" i="4"/>
  <c r="M40" i="4"/>
  <c r="L40" i="4"/>
  <c r="N40" i="4" s="1"/>
  <c r="G40" i="4"/>
  <c r="F40" i="4"/>
  <c r="E40" i="4"/>
  <c r="S39" i="4"/>
  <c r="R39" i="4"/>
  <c r="Q39" i="4"/>
  <c r="P39" i="4"/>
  <c r="O39" i="4"/>
  <c r="N39" i="4"/>
  <c r="L39" i="4"/>
  <c r="F39" i="4"/>
  <c r="G39" i="4" s="1"/>
  <c r="E39" i="4"/>
  <c r="S38" i="4"/>
  <c r="R38" i="4"/>
  <c r="Q38" i="4"/>
  <c r="O38" i="4"/>
  <c r="N38" i="4"/>
  <c r="M38" i="4"/>
  <c r="T38" i="4" s="1"/>
  <c r="L38" i="4"/>
  <c r="P38" i="4" s="1"/>
  <c r="G38" i="4"/>
  <c r="F38" i="4"/>
  <c r="U38" i="4" s="1"/>
  <c r="V38" i="4" s="1"/>
  <c r="E38" i="4"/>
  <c r="R37" i="4"/>
  <c r="S37" i="4" s="1"/>
  <c r="P37" i="4"/>
  <c r="N37" i="4"/>
  <c r="L37" i="4"/>
  <c r="F37" i="4"/>
  <c r="M37" i="4" s="1"/>
  <c r="E37" i="4"/>
  <c r="U37" i="4" s="1"/>
  <c r="V37" i="4" s="1"/>
  <c r="R36" i="4"/>
  <c r="S36" i="4" s="1"/>
  <c r="Q36" i="4"/>
  <c r="P36" i="4"/>
  <c r="L36" i="4"/>
  <c r="O36" i="4" s="1"/>
  <c r="F36" i="4"/>
  <c r="E36" i="4"/>
  <c r="R35" i="4"/>
  <c r="S35" i="4" s="1"/>
  <c r="Q35" i="4"/>
  <c r="P35" i="4"/>
  <c r="O35" i="4"/>
  <c r="M35" i="4"/>
  <c r="L35" i="4"/>
  <c r="N35" i="4" s="1"/>
  <c r="F35" i="4"/>
  <c r="E35" i="4"/>
  <c r="U35" i="4" s="1"/>
  <c r="V35" i="4" s="1"/>
  <c r="S34" i="4"/>
  <c r="R34" i="4"/>
  <c r="Q34" i="4"/>
  <c r="P34" i="4"/>
  <c r="O34" i="4"/>
  <c r="N34" i="4"/>
  <c r="M34" i="4"/>
  <c r="L34" i="4"/>
  <c r="F34" i="4"/>
  <c r="E34" i="4"/>
  <c r="S33" i="4"/>
  <c r="R33" i="4"/>
  <c r="P33" i="4"/>
  <c r="O33" i="4"/>
  <c r="N33" i="4"/>
  <c r="L33" i="4"/>
  <c r="Q33" i="4" s="1"/>
  <c r="F33" i="4"/>
  <c r="U33" i="4" s="1"/>
  <c r="V33" i="4" s="1"/>
  <c r="E33" i="4"/>
  <c r="R32" i="4"/>
  <c r="S32" i="4" s="1"/>
  <c r="Q32" i="4"/>
  <c r="O32" i="4"/>
  <c r="N32" i="4"/>
  <c r="M32" i="4"/>
  <c r="T32" i="4" s="1"/>
  <c r="L32" i="4"/>
  <c r="P32" i="4" s="1"/>
  <c r="F32" i="4"/>
  <c r="U32" i="4" s="1"/>
  <c r="V32" i="4" s="1"/>
  <c r="E32" i="4"/>
  <c r="S31" i="4"/>
  <c r="R31" i="4"/>
  <c r="P31" i="4"/>
  <c r="N31" i="4"/>
  <c r="M31" i="4"/>
  <c r="L31" i="4"/>
  <c r="O31" i="4" s="1"/>
  <c r="F31" i="4"/>
  <c r="E31" i="4"/>
  <c r="R30" i="4"/>
  <c r="S30" i="4" s="1"/>
  <c r="N30" i="4"/>
  <c r="L30" i="4"/>
  <c r="Q30" i="4" s="1"/>
  <c r="F30" i="4"/>
  <c r="Z31" i="4" s="1"/>
  <c r="E30" i="4"/>
  <c r="R29" i="4"/>
  <c r="S29" i="4" s="1"/>
  <c r="Q29" i="4"/>
  <c r="T29" i="4" s="1"/>
  <c r="O29" i="4"/>
  <c r="N29" i="4"/>
  <c r="M29" i="4"/>
  <c r="L29" i="4"/>
  <c r="P29" i="4" s="1"/>
  <c r="F29" i="4"/>
  <c r="U29" i="4" s="1"/>
  <c r="V29" i="4" s="1"/>
  <c r="E29" i="4"/>
  <c r="V28" i="4"/>
  <c r="U28" i="4"/>
  <c r="R28" i="4"/>
  <c r="S28" i="4" s="1"/>
  <c r="M28" i="4"/>
  <c r="L28" i="4"/>
  <c r="Q28" i="4" s="1"/>
  <c r="T28" i="4" s="1"/>
  <c r="G28" i="4"/>
  <c r="F28" i="4"/>
  <c r="E28" i="4"/>
  <c r="R27" i="4"/>
  <c r="S27" i="4" s="1"/>
  <c r="Q27" i="4"/>
  <c r="P27" i="4"/>
  <c r="L27" i="4"/>
  <c r="O27" i="4" s="1"/>
  <c r="F27" i="4"/>
  <c r="G27" i="4" s="1"/>
  <c r="E27" i="4"/>
  <c r="S26" i="4"/>
  <c r="R26" i="4"/>
  <c r="Q26" i="4"/>
  <c r="P26" i="4"/>
  <c r="O26" i="4"/>
  <c r="L26" i="4"/>
  <c r="N26" i="4" s="1"/>
  <c r="F26" i="4"/>
  <c r="E26" i="4"/>
  <c r="R25" i="4"/>
  <c r="S25" i="4" s="1"/>
  <c r="P25" i="4"/>
  <c r="O25" i="4"/>
  <c r="L25" i="4"/>
  <c r="Q25" i="4" s="1"/>
  <c r="G25" i="4"/>
  <c r="F25" i="4"/>
  <c r="U25" i="4" s="1"/>
  <c r="V25" i="4" s="1"/>
  <c r="E25" i="4"/>
  <c r="S24" i="4"/>
  <c r="R24" i="4"/>
  <c r="P24" i="4"/>
  <c r="O24" i="4"/>
  <c r="N24" i="4"/>
  <c r="L24" i="4"/>
  <c r="Q24" i="4" s="1"/>
  <c r="F24" i="4"/>
  <c r="M24" i="4" s="1"/>
  <c r="T24" i="4" s="1"/>
  <c r="E24" i="4"/>
  <c r="S23" i="4"/>
  <c r="R23" i="4"/>
  <c r="P23" i="4"/>
  <c r="O23" i="4"/>
  <c r="M23" i="4"/>
  <c r="L23" i="4"/>
  <c r="Q23" i="4" s="1"/>
  <c r="T23" i="4" s="1"/>
  <c r="G23" i="4"/>
  <c r="F23" i="4"/>
  <c r="E23" i="4"/>
  <c r="U23" i="4" s="1"/>
  <c r="V23" i="4" s="1"/>
  <c r="R22" i="4"/>
  <c r="S22" i="4" s="1"/>
  <c r="Q22" i="4"/>
  <c r="P22" i="4"/>
  <c r="O22" i="4"/>
  <c r="N22" i="4"/>
  <c r="L22" i="4"/>
  <c r="F22" i="4"/>
  <c r="E22" i="4"/>
  <c r="S21" i="4"/>
  <c r="R21" i="4"/>
  <c r="M21" i="4"/>
  <c r="L21" i="4"/>
  <c r="P21" i="4" s="1"/>
  <c r="G21" i="4"/>
  <c r="F21" i="4"/>
  <c r="E21" i="4"/>
  <c r="U21" i="4" s="1"/>
  <c r="V21" i="4" s="1"/>
  <c r="R20" i="4"/>
  <c r="S20" i="4" s="1"/>
  <c r="Q20" i="4"/>
  <c r="T20" i="4" s="1"/>
  <c r="O20" i="4"/>
  <c r="N20" i="4"/>
  <c r="M20" i="4"/>
  <c r="L20" i="4"/>
  <c r="P20" i="4" s="1"/>
  <c r="F20" i="4"/>
  <c r="E20" i="4"/>
  <c r="U20" i="4" s="1"/>
  <c r="V20" i="4" s="1"/>
  <c r="S19" i="4"/>
  <c r="R19" i="4"/>
  <c r="P19" i="4"/>
  <c r="O19" i="4"/>
  <c r="M19" i="4"/>
  <c r="L19" i="4"/>
  <c r="Q19" i="4" s="1"/>
  <c r="T19" i="4" s="1"/>
  <c r="G19" i="4"/>
  <c r="F19" i="4"/>
  <c r="E19" i="4"/>
  <c r="U19" i="4" s="1"/>
  <c r="V19" i="4" s="1"/>
  <c r="R18" i="4"/>
  <c r="S18" i="4" s="1"/>
  <c r="Q18" i="4"/>
  <c r="P18" i="4"/>
  <c r="O18" i="4"/>
  <c r="N18" i="4"/>
  <c r="L18" i="4"/>
  <c r="F18" i="4"/>
  <c r="E18" i="4"/>
  <c r="S17" i="4"/>
  <c r="R17" i="4"/>
  <c r="M17" i="4"/>
  <c r="L17" i="4"/>
  <c r="P17" i="4" s="1"/>
  <c r="G17" i="4"/>
  <c r="F17" i="4"/>
  <c r="E17" i="4"/>
  <c r="U17" i="4" s="1"/>
  <c r="V17" i="4" s="1"/>
  <c r="R16" i="4"/>
  <c r="S16" i="4" s="1"/>
  <c r="Q16" i="4"/>
  <c r="T16" i="4" s="1"/>
  <c r="O16" i="4"/>
  <c r="N16" i="4"/>
  <c r="M16" i="4"/>
  <c r="L16" i="4"/>
  <c r="P16" i="4" s="1"/>
  <c r="F16" i="4"/>
  <c r="E16" i="4"/>
  <c r="U16" i="4" s="1"/>
  <c r="V16" i="4" s="1"/>
  <c r="S15" i="4"/>
  <c r="R15" i="4"/>
  <c r="P15" i="4"/>
  <c r="O15" i="4"/>
  <c r="M15" i="4"/>
  <c r="L15" i="4"/>
  <c r="Q15" i="4" s="1"/>
  <c r="T15" i="4" s="1"/>
  <c r="G15" i="4"/>
  <c r="F15" i="4"/>
  <c r="E15" i="4"/>
  <c r="U15" i="4" s="1"/>
  <c r="V15" i="4" s="1"/>
  <c r="R14" i="4"/>
  <c r="S14" i="4" s="1"/>
  <c r="Q14" i="4"/>
  <c r="P14" i="4"/>
  <c r="O14" i="4"/>
  <c r="N14" i="4"/>
  <c r="L14" i="4"/>
  <c r="F14" i="4"/>
  <c r="E14" i="4"/>
  <c r="S13" i="4"/>
  <c r="R13" i="4"/>
  <c r="M13" i="4"/>
  <c r="L13" i="4"/>
  <c r="P13" i="4" s="1"/>
  <c r="F13" i="4"/>
  <c r="E13" i="4"/>
  <c r="G13" i="4" s="1"/>
  <c r="S12" i="4"/>
  <c r="R12" i="4"/>
  <c r="Q12" i="4"/>
  <c r="T12" i="4" s="1"/>
  <c r="O12" i="4"/>
  <c r="N12" i="4"/>
  <c r="M12" i="4"/>
  <c r="L12" i="4"/>
  <c r="P12" i="4" s="1"/>
  <c r="F12" i="4"/>
  <c r="E12" i="4"/>
  <c r="U12" i="4" s="1"/>
  <c r="V12" i="4" s="1"/>
  <c r="U11" i="4"/>
  <c r="S11" i="4"/>
  <c r="R11" i="4"/>
  <c r="Q11" i="4"/>
  <c r="T11" i="4" s="1"/>
  <c r="P11" i="4"/>
  <c r="O11" i="4"/>
  <c r="M11" i="4"/>
  <c r="L11" i="4"/>
  <c r="N11" i="4" s="1"/>
  <c r="G11" i="4"/>
  <c r="F11" i="4"/>
  <c r="J6" i="4"/>
  <c r="L4" i="4"/>
  <c r="N3" i="4"/>
  <c r="I2" i="4"/>
  <c r="L122" i="4" s="1"/>
  <c r="C6" i="4" s="1"/>
  <c r="D6" i="4" s="1"/>
  <c r="O109" i="3"/>
  <c r="O111" i="3" s="1"/>
  <c r="N107" i="3"/>
  <c r="P88" i="3"/>
  <c r="O88" i="3"/>
  <c r="N88" i="3"/>
  <c r="S88" i="3" s="1"/>
  <c r="H88" i="3"/>
  <c r="G88" i="3"/>
  <c r="E88" i="3"/>
  <c r="T87" i="3"/>
  <c r="U87" i="3" s="1"/>
  <c r="S87" i="3"/>
  <c r="R87" i="3"/>
  <c r="Q87" i="3"/>
  <c r="N87" i="3"/>
  <c r="P87" i="3" s="1"/>
  <c r="H87" i="3"/>
  <c r="G87" i="3"/>
  <c r="I87" i="3" s="1"/>
  <c r="E87" i="3"/>
  <c r="P86" i="3"/>
  <c r="N86" i="3"/>
  <c r="S86" i="3" s="1"/>
  <c r="H86" i="3"/>
  <c r="G86" i="3"/>
  <c r="E86" i="3"/>
  <c r="T85" i="3"/>
  <c r="U85" i="3" s="1"/>
  <c r="S85" i="3"/>
  <c r="R85" i="3"/>
  <c r="Q85" i="3"/>
  <c r="P85" i="3"/>
  <c r="N85" i="3"/>
  <c r="H85" i="3"/>
  <c r="G85" i="3"/>
  <c r="I85" i="3" s="1"/>
  <c r="E85" i="3"/>
  <c r="O84" i="3"/>
  <c r="N84" i="3"/>
  <c r="H84" i="3"/>
  <c r="G84" i="3"/>
  <c r="E84" i="3"/>
  <c r="T83" i="3"/>
  <c r="U83" i="3" s="1"/>
  <c r="S83" i="3"/>
  <c r="R83" i="3"/>
  <c r="Q83" i="3"/>
  <c r="P83" i="3"/>
  <c r="N83" i="3"/>
  <c r="H83" i="3"/>
  <c r="G83" i="3"/>
  <c r="I83" i="3" s="1"/>
  <c r="E83" i="3"/>
  <c r="O82" i="3"/>
  <c r="N82" i="3"/>
  <c r="H82" i="3"/>
  <c r="G82" i="3"/>
  <c r="E82" i="3"/>
  <c r="T81" i="3"/>
  <c r="U81" i="3" s="1"/>
  <c r="S81" i="3"/>
  <c r="R81" i="3"/>
  <c r="Q81" i="3"/>
  <c r="P81" i="3"/>
  <c r="N81" i="3"/>
  <c r="H81" i="3"/>
  <c r="G81" i="3"/>
  <c r="I81" i="3" s="1"/>
  <c r="E81" i="3"/>
  <c r="P80" i="3"/>
  <c r="O80" i="3"/>
  <c r="N80" i="3"/>
  <c r="H80" i="3"/>
  <c r="G80" i="3"/>
  <c r="E80" i="3"/>
  <c r="T79" i="3"/>
  <c r="U79" i="3" s="1"/>
  <c r="S79" i="3"/>
  <c r="R79" i="3"/>
  <c r="Q79" i="3"/>
  <c r="P79" i="3"/>
  <c r="N79" i="3"/>
  <c r="I79" i="3"/>
  <c r="H79" i="3"/>
  <c r="G79" i="3"/>
  <c r="O79" i="3" s="1"/>
  <c r="E79" i="3"/>
  <c r="P78" i="3"/>
  <c r="O78" i="3"/>
  <c r="N78" i="3"/>
  <c r="H78" i="3"/>
  <c r="G78" i="3"/>
  <c r="E78" i="3"/>
  <c r="T77" i="3"/>
  <c r="U77" i="3" s="1"/>
  <c r="S77" i="3"/>
  <c r="R77" i="3"/>
  <c r="Q77" i="3"/>
  <c r="P77" i="3"/>
  <c r="N77" i="3"/>
  <c r="I77" i="3"/>
  <c r="H77" i="3"/>
  <c r="G77" i="3"/>
  <c r="O77" i="3" s="1"/>
  <c r="E77" i="3"/>
  <c r="N76" i="3"/>
  <c r="H76" i="3"/>
  <c r="G76" i="3"/>
  <c r="E76" i="3"/>
  <c r="T75" i="3"/>
  <c r="U75" i="3" s="1"/>
  <c r="S75" i="3"/>
  <c r="R75" i="3"/>
  <c r="Q75" i="3"/>
  <c r="P75" i="3"/>
  <c r="N75" i="3"/>
  <c r="I75" i="3"/>
  <c r="H75" i="3"/>
  <c r="G75" i="3"/>
  <c r="O75" i="3" s="1"/>
  <c r="E75" i="3"/>
  <c r="N74" i="3"/>
  <c r="H74" i="3"/>
  <c r="G74" i="3"/>
  <c r="E74" i="3"/>
  <c r="T73" i="3"/>
  <c r="U73" i="3" s="1"/>
  <c r="S73" i="3"/>
  <c r="R73" i="3"/>
  <c r="Q73" i="3"/>
  <c r="P73" i="3"/>
  <c r="N73" i="3"/>
  <c r="I73" i="3"/>
  <c r="H73" i="3"/>
  <c r="G73" i="3"/>
  <c r="O73" i="3" s="1"/>
  <c r="E73" i="3"/>
  <c r="P72" i="3"/>
  <c r="O72" i="3"/>
  <c r="N72" i="3"/>
  <c r="H72" i="3"/>
  <c r="G72" i="3"/>
  <c r="E72" i="3"/>
  <c r="T71" i="3"/>
  <c r="U71" i="3" s="1"/>
  <c r="S71" i="3"/>
  <c r="R71" i="3"/>
  <c r="Q71" i="3"/>
  <c r="P71" i="3"/>
  <c r="N71" i="3"/>
  <c r="I71" i="3"/>
  <c r="H71" i="3"/>
  <c r="G71" i="3"/>
  <c r="O71" i="3" s="1"/>
  <c r="E71" i="3"/>
  <c r="T70" i="3"/>
  <c r="U70" i="3" s="1"/>
  <c r="O70" i="3"/>
  <c r="N70" i="3"/>
  <c r="H70" i="3"/>
  <c r="G70" i="3"/>
  <c r="E70" i="3"/>
  <c r="T69" i="3"/>
  <c r="U69" i="3" s="1"/>
  <c r="S69" i="3"/>
  <c r="R69" i="3"/>
  <c r="Q69" i="3"/>
  <c r="P69" i="3"/>
  <c r="N69" i="3"/>
  <c r="I69" i="3"/>
  <c r="H69" i="3"/>
  <c r="G69" i="3"/>
  <c r="O69" i="3" s="1"/>
  <c r="E69" i="3"/>
  <c r="Q68" i="3"/>
  <c r="P68" i="3"/>
  <c r="N68" i="3"/>
  <c r="S68" i="3" s="1"/>
  <c r="H68" i="3"/>
  <c r="G68" i="3"/>
  <c r="E68" i="3"/>
  <c r="T67" i="3"/>
  <c r="U67" i="3" s="1"/>
  <c r="S67" i="3"/>
  <c r="R67" i="3"/>
  <c r="Q67" i="3"/>
  <c r="N67" i="3"/>
  <c r="P67" i="3" s="1"/>
  <c r="I67" i="3"/>
  <c r="H67" i="3"/>
  <c r="G67" i="3"/>
  <c r="O67" i="3" s="1"/>
  <c r="E67" i="3"/>
  <c r="Q66" i="3"/>
  <c r="P66" i="3"/>
  <c r="O66" i="3"/>
  <c r="N66" i="3"/>
  <c r="S66" i="3" s="1"/>
  <c r="I66" i="3"/>
  <c r="H66" i="3"/>
  <c r="G66" i="3"/>
  <c r="E66" i="3"/>
  <c r="N65" i="3"/>
  <c r="H65" i="3"/>
  <c r="G65" i="3"/>
  <c r="O65" i="3" s="1"/>
  <c r="E65" i="3"/>
  <c r="I65" i="3" s="1"/>
  <c r="N64" i="3"/>
  <c r="S64" i="3" s="1"/>
  <c r="I64" i="3"/>
  <c r="H64" i="3"/>
  <c r="G64" i="3"/>
  <c r="O64" i="3" s="1"/>
  <c r="E64" i="3"/>
  <c r="N63" i="3"/>
  <c r="H63" i="3"/>
  <c r="G63" i="3"/>
  <c r="E63" i="3"/>
  <c r="T63" i="3" s="1"/>
  <c r="U63" i="3" s="1"/>
  <c r="P62" i="3"/>
  <c r="N62" i="3"/>
  <c r="S62" i="3" s="1"/>
  <c r="I62" i="3"/>
  <c r="H62" i="3"/>
  <c r="G62" i="3"/>
  <c r="O62" i="3" s="1"/>
  <c r="E62" i="3"/>
  <c r="R61" i="3"/>
  <c r="N61" i="3"/>
  <c r="H61" i="3"/>
  <c r="G61" i="3"/>
  <c r="I61" i="3" s="1"/>
  <c r="E61" i="3"/>
  <c r="T61" i="3" s="1"/>
  <c r="U61" i="3" s="1"/>
  <c r="R60" i="3"/>
  <c r="N60" i="3"/>
  <c r="S60" i="3" s="1"/>
  <c r="H60" i="3"/>
  <c r="G60" i="3"/>
  <c r="O60" i="3" s="1"/>
  <c r="E60" i="3"/>
  <c r="N59" i="3"/>
  <c r="H59" i="3"/>
  <c r="G59" i="3"/>
  <c r="E59" i="3"/>
  <c r="T59" i="3" s="1"/>
  <c r="U59" i="3" s="1"/>
  <c r="T58" i="3"/>
  <c r="U58" i="3" s="1"/>
  <c r="R58" i="3"/>
  <c r="N58" i="3"/>
  <c r="S58" i="3" s="1"/>
  <c r="I58" i="3"/>
  <c r="H58" i="3"/>
  <c r="G58" i="3"/>
  <c r="O58" i="3" s="1"/>
  <c r="E58" i="3"/>
  <c r="T57" i="3"/>
  <c r="U57" i="3" s="1"/>
  <c r="P57" i="3"/>
  <c r="N57" i="3"/>
  <c r="H57" i="3"/>
  <c r="G57" i="3"/>
  <c r="I57" i="3" s="1"/>
  <c r="E57" i="3"/>
  <c r="P56" i="3"/>
  <c r="N56" i="3"/>
  <c r="S56" i="3" s="1"/>
  <c r="H56" i="3"/>
  <c r="G56" i="3"/>
  <c r="O56" i="3" s="1"/>
  <c r="E56" i="3"/>
  <c r="I56" i="3" s="1"/>
  <c r="T55" i="3"/>
  <c r="U55" i="3" s="1"/>
  <c r="O55" i="3"/>
  <c r="N55" i="3"/>
  <c r="H55" i="3"/>
  <c r="G55" i="3"/>
  <c r="E55" i="3"/>
  <c r="T54" i="3"/>
  <c r="U54" i="3" s="1"/>
  <c r="S54" i="3"/>
  <c r="R54" i="3"/>
  <c r="N54" i="3"/>
  <c r="Q54" i="3" s="1"/>
  <c r="I54" i="3"/>
  <c r="H54" i="3"/>
  <c r="G54" i="3"/>
  <c r="O54" i="3" s="1"/>
  <c r="E54" i="3"/>
  <c r="T53" i="3"/>
  <c r="U53" i="3" s="1"/>
  <c r="S53" i="3"/>
  <c r="O53" i="3"/>
  <c r="N53" i="3"/>
  <c r="Q53" i="3" s="1"/>
  <c r="H53" i="3"/>
  <c r="G53" i="3"/>
  <c r="E53" i="3"/>
  <c r="T52" i="3"/>
  <c r="U52" i="3" s="1"/>
  <c r="O52" i="3"/>
  <c r="N52" i="3"/>
  <c r="S52" i="3" s="1"/>
  <c r="H52" i="3"/>
  <c r="G52" i="3"/>
  <c r="E52" i="3"/>
  <c r="O51" i="3"/>
  <c r="N51" i="3"/>
  <c r="H51" i="3"/>
  <c r="G51" i="3"/>
  <c r="E51" i="3"/>
  <c r="T50" i="3"/>
  <c r="U50" i="3" s="1"/>
  <c r="S50" i="3"/>
  <c r="R50" i="3"/>
  <c r="Q50" i="3"/>
  <c r="N50" i="3"/>
  <c r="P50" i="3" s="1"/>
  <c r="I50" i="3"/>
  <c r="H50" i="3"/>
  <c r="G50" i="3"/>
  <c r="O50" i="3" s="1"/>
  <c r="E50" i="3"/>
  <c r="N49" i="3"/>
  <c r="H49" i="3"/>
  <c r="G49" i="3"/>
  <c r="E49" i="3"/>
  <c r="T48" i="3"/>
  <c r="U48" i="3" s="1"/>
  <c r="S48" i="3"/>
  <c r="R48" i="3"/>
  <c r="Q48" i="3"/>
  <c r="N48" i="3"/>
  <c r="P48" i="3" s="1"/>
  <c r="I48" i="3"/>
  <c r="H48" i="3"/>
  <c r="G48" i="3"/>
  <c r="O48" i="3" s="1"/>
  <c r="E48" i="3"/>
  <c r="N47" i="3"/>
  <c r="H47" i="3"/>
  <c r="G47" i="3"/>
  <c r="T47" i="3" s="1"/>
  <c r="U47" i="3" s="1"/>
  <c r="E47" i="3"/>
  <c r="U46" i="3"/>
  <c r="T46" i="3"/>
  <c r="S46" i="3"/>
  <c r="R46" i="3"/>
  <c r="Q46" i="3"/>
  <c r="P46" i="3"/>
  <c r="N46" i="3"/>
  <c r="I46" i="3"/>
  <c r="H46" i="3"/>
  <c r="G46" i="3"/>
  <c r="O46" i="3" s="1"/>
  <c r="E46" i="3"/>
  <c r="N45" i="3"/>
  <c r="H45" i="3"/>
  <c r="G45" i="3"/>
  <c r="E45" i="3"/>
  <c r="U44" i="3"/>
  <c r="T44" i="3"/>
  <c r="S44" i="3"/>
  <c r="R44" i="3"/>
  <c r="Q44" i="3"/>
  <c r="P44" i="3"/>
  <c r="N44" i="3"/>
  <c r="I44" i="3"/>
  <c r="H44" i="3"/>
  <c r="G44" i="3"/>
  <c r="O44" i="3" s="1"/>
  <c r="E44" i="3"/>
  <c r="O43" i="3"/>
  <c r="N43" i="3"/>
  <c r="H43" i="3"/>
  <c r="G43" i="3"/>
  <c r="E43" i="3"/>
  <c r="U42" i="3"/>
  <c r="T42" i="3"/>
  <c r="S42" i="3"/>
  <c r="R42" i="3"/>
  <c r="Q42" i="3"/>
  <c r="P42" i="3"/>
  <c r="N42" i="3"/>
  <c r="I42" i="3"/>
  <c r="H42" i="3"/>
  <c r="G42" i="3"/>
  <c r="O42" i="3" s="1"/>
  <c r="E42" i="3"/>
  <c r="N41" i="3"/>
  <c r="H41" i="3"/>
  <c r="G41" i="3"/>
  <c r="O41" i="3" s="1"/>
  <c r="E41" i="3"/>
  <c r="U40" i="3"/>
  <c r="T40" i="3"/>
  <c r="S40" i="3"/>
  <c r="R40" i="3"/>
  <c r="Q40" i="3"/>
  <c r="P40" i="3"/>
  <c r="N40" i="3"/>
  <c r="I40" i="3"/>
  <c r="H40" i="3"/>
  <c r="G40" i="3"/>
  <c r="O40" i="3" s="1"/>
  <c r="E40" i="3"/>
  <c r="N39" i="3"/>
  <c r="H39" i="3"/>
  <c r="G39" i="3"/>
  <c r="E39" i="3"/>
  <c r="U38" i="3"/>
  <c r="T38" i="3"/>
  <c r="S38" i="3"/>
  <c r="R38" i="3"/>
  <c r="Q38" i="3"/>
  <c r="P38" i="3"/>
  <c r="N38" i="3"/>
  <c r="I38" i="3"/>
  <c r="H38" i="3"/>
  <c r="G38" i="3"/>
  <c r="O38" i="3" s="1"/>
  <c r="E38" i="3"/>
  <c r="N37" i="3"/>
  <c r="H37" i="3"/>
  <c r="G37" i="3"/>
  <c r="E37" i="3"/>
  <c r="T36" i="3"/>
  <c r="U36" i="3" s="1"/>
  <c r="S36" i="3"/>
  <c r="R36" i="3"/>
  <c r="Q36" i="3"/>
  <c r="P36" i="3"/>
  <c r="N36" i="3"/>
  <c r="I36" i="3"/>
  <c r="H36" i="3"/>
  <c r="G36" i="3"/>
  <c r="O36" i="3" s="1"/>
  <c r="E36" i="3"/>
  <c r="T35" i="3"/>
  <c r="U35" i="3" s="1"/>
  <c r="O35" i="3"/>
  <c r="N35" i="3"/>
  <c r="H35" i="3"/>
  <c r="G35" i="3"/>
  <c r="E35" i="3"/>
  <c r="T34" i="3"/>
  <c r="U34" i="3" s="1"/>
  <c r="S34" i="3"/>
  <c r="R34" i="3"/>
  <c r="Q34" i="3"/>
  <c r="P34" i="3"/>
  <c r="N34" i="3"/>
  <c r="I34" i="3"/>
  <c r="H34" i="3"/>
  <c r="G34" i="3"/>
  <c r="O34" i="3" s="1"/>
  <c r="E34" i="3"/>
  <c r="T33" i="3"/>
  <c r="U33" i="3" s="1"/>
  <c r="O33" i="3"/>
  <c r="N33" i="3"/>
  <c r="H33" i="3"/>
  <c r="G33" i="3"/>
  <c r="E33" i="3"/>
  <c r="T32" i="3"/>
  <c r="U32" i="3" s="1"/>
  <c r="S32" i="3"/>
  <c r="R32" i="3"/>
  <c r="Q32" i="3"/>
  <c r="P32" i="3"/>
  <c r="N32" i="3"/>
  <c r="I32" i="3"/>
  <c r="H32" i="3"/>
  <c r="G32" i="3"/>
  <c r="O32" i="3" s="1"/>
  <c r="E32" i="3"/>
  <c r="T31" i="3"/>
  <c r="U31" i="3" s="1"/>
  <c r="O31" i="3"/>
  <c r="N31" i="3"/>
  <c r="H31" i="3"/>
  <c r="G31" i="3"/>
  <c r="E31" i="3"/>
  <c r="T30" i="3"/>
  <c r="U30" i="3" s="1"/>
  <c r="S30" i="3"/>
  <c r="Q30" i="3"/>
  <c r="N30" i="3"/>
  <c r="R30" i="3" s="1"/>
  <c r="I30" i="3"/>
  <c r="H30" i="3"/>
  <c r="G30" i="3"/>
  <c r="O30" i="3" s="1"/>
  <c r="E30" i="3"/>
  <c r="R29" i="3"/>
  <c r="Q29" i="3"/>
  <c r="P29" i="3"/>
  <c r="N29" i="3"/>
  <c r="S29" i="3" s="1"/>
  <c r="H29" i="3"/>
  <c r="G29" i="3"/>
  <c r="T29" i="3" s="1"/>
  <c r="U29" i="3" s="1"/>
  <c r="E29" i="3"/>
  <c r="N28" i="3"/>
  <c r="H28" i="3"/>
  <c r="G28" i="3"/>
  <c r="O28" i="3" s="1"/>
  <c r="E28" i="3"/>
  <c r="I28" i="3" s="1"/>
  <c r="U27" i="3"/>
  <c r="R27" i="3"/>
  <c r="Q27" i="3"/>
  <c r="P27" i="3"/>
  <c r="O27" i="3"/>
  <c r="N27" i="3"/>
  <c r="S27" i="3" s="1"/>
  <c r="I27" i="3"/>
  <c r="H27" i="3"/>
  <c r="G27" i="3"/>
  <c r="T27" i="3" s="1"/>
  <c r="E27" i="3"/>
  <c r="N26" i="3"/>
  <c r="P26" i="3" s="1"/>
  <c r="H26" i="3"/>
  <c r="G26" i="3"/>
  <c r="O26" i="3" s="1"/>
  <c r="E26" i="3"/>
  <c r="T26" i="3" s="1"/>
  <c r="U26" i="3" s="1"/>
  <c r="O25" i="3"/>
  <c r="N25" i="3"/>
  <c r="S25" i="3" s="1"/>
  <c r="H25" i="3"/>
  <c r="G25" i="3"/>
  <c r="T25" i="3" s="1"/>
  <c r="U25" i="3" s="1"/>
  <c r="E25" i="3"/>
  <c r="U24" i="3"/>
  <c r="T24" i="3"/>
  <c r="S24" i="3"/>
  <c r="R24" i="3"/>
  <c r="Q24" i="3"/>
  <c r="P24" i="3"/>
  <c r="N24" i="3"/>
  <c r="I24" i="3"/>
  <c r="H24" i="3"/>
  <c r="G24" i="3"/>
  <c r="O24" i="3" s="1"/>
  <c r="E24" i="3"/>
  <c r="T23" i="3"/>
  <c r="U23" i="3" s="1"/>
  <c r="R23" i="3"/>
  <c r="P23" i="3"/>
  <c r="N23" i="3"/>
  <c r="S23" i="3" s="1"/>
  <c r="I23" i="3"/>
  <c r="H23" i="3"/>
  <c r="G23" i="3"/>
  <c r="O23" i="3" s="1"/>
  <c r="E23" i="3"/>
  <c r="T22" i="3"/>
  <c r="U22" i="3" s="1"/>
  <c r="S22" i="3"/>
  <c r="N22" i="3"/>
  <c r="R22" i="3" s="1"/>
  <c r="H22" i="3"/>
  <c r="G22" i="3"/>
  <c r="O22" i="3" s="1"/>
  <c r="E22" i="3"/>
  <c r="I22" i="3" s="1"/>
  <c r="O21" i="3"/>
  <c r="N21" i="3"/>
  <c r="S21" i="3" s="1"/>
  <c r="H21" i="3"/>
  <c r="G21" i="3"/>
  <c r="E21" i="3"/>
  <c r="T20" i="3"/>
  <c r="U20" i="3" s="1"/>
  <c r="S20" i="3"/>
  <c r="R20" i="3"/>
  <c r="Q20" i="3"/>
  <c r="P20" i="3"/>
  <c r="N20" i="3"/>
  <c r="I20" i="3"/>
  <c r="H20" i="3"/>
  <c r="G20" i="3"/>
  <c r="O20" i="3" s="1"/>
  <c r="E20" i="3"/>
  <c r="N19" i="3"/>
  <c r="S19" i="3" s="1"/>
  <c r="H19" i="3"/>
  <c r="G19" i="3"/>
  <c r="T19" i="3" s="1"/>
  <c r="U19" i="3" s="1"/>
  <c r="E19" i="3"/>
  <c r="T18" i="3"/>
  <c r="U18" i="3" s="1"/>
  <c r="S18" i="3"/>
  <c r="R18" i="3"/>
  <c r="Q18" i="3"/>
  <c r="P18" i="3"/>
  <c r="N18" i="3"/>
  <c r="I18" i="3"/>
  <c r="H18" i="3"/>
  <c r="G18" i="3"/>
  <c r="O18" i="3" s="1"/>
  <c r="E18" i="3"/>
  <c r="N17" i="3"/>
  <c r="S17" i="3" s="1"/>
  <c r="H17" i="3"/>
  <c r="G17" i="3"/>
  <c r="T17" i="3" s="1"/>
  <c r="U17" i="3" s="1"/>
  <c r="E17" i="3"/>
  <c r="T16" i="3"/>
  <c r="U16" i="3" s="1"/>
  <c r="S16" i="3"/>
  <c r="R16" i="3"/>
  <c r="N16" i="3"/>
  <c r="Q16" i="3" s="1"/>
  <c r="H16" i="3"/>
  <c r="G16" i="3"/>
  <c r="O16" i="3" s="1"/>
  <c r="E16" i="3"/>
  <c r="I16" i="3" s="1"/>
  <c r="N15" i="3"/>
  <c r="S15" i="3" s="1"/>
  <c r="H15" i="3"/>
  <c r="G15" i="3"/>
  <c r="Y16" i="3" s="1"/>
  <c r="E15" i="3"/>
  <c r="T14" i="3"/>
  <c r="U14" i="3" s="1"/>
  <c r="S14" i="3"/>
  <c r="R14" i="3"/>
  <c r="N14" i="3"/>
  <c r="Q14" i="3" s="1"/>
  <c r="H14" i="3"/>
  <c r="G14" i="3"/>
  <c r="O14" i="3" s="1"/>
  <c r="E14" i="3"/>
  <c r="I14" i="3" s="1"/>
  <c r="N13" i="3"/>
  <c r="S13" i="3" s="1"/>
  <c r="H13" i="3"/>
  <c r="G13" i="3"/>
  <c r="T13" i="3" s="1"/>
  <c r="U13" i="3" s="1"/>
  <c r="E13" i="3"/>
  <c r="T12" i="3"/>
  <c r="U12" i="3" s="1"/>
  <c r="S12" i="3"/>
  <c r="R12" i="3"/>
  <c r="P12" i="3"/>
  <c r="N12" i="3"/>
  <c r="Q12" i="3" s="1"/>
  <c r="I12" i="3"/>
  <c r="W12" i="3" s="1"/>
  <c r="H12" i="3"/>
  <c r="G12" i="3"/>
  <c r="L7" i="3"/>
  <c r="C7" i="3"/>
  <c r="D7" i="3" s="1"/>
  <c r="L6" i="3"/>
  <c r="K3" i="3"/>
  <c r="O112" i="3" s="1"/>
  <c r="M2" i="3"/>
  <c r="A15" i="1"/>
  <c r="A16" i="1"/>
  <c r="A17" i="1"/>
  <c r="A18" i="1"/>
  <c r="A14" i="1"/>
  <c r="AE116" i="2"/>
  <c r="AB110" i="2"/>
  <c r="AB109" i="2"/>
  <c r="M109" i="2"/>
  <c r="M107" i="2"/>
  <c r="L107" i="2"/>
  <c r="F90" i="2"/>
  <c r="D89" i="2"/>
  <c r="D90" i="2" s="1"/>
  <c r="AA88" i="2"/>
  <c r="P88" i="2"/>
  <c r="O88" i="2"/>
  <c r="N88" i="2"/>
  <c r="L88" i="2"/>
  <c r="Q88" i="2" s="1"/>
  <c r="F88" i="2"/>
  <c r="E88" i="2"/>
  <c r="S87" i="2"/>
  <c r="M87" i="2"/>
  <c r="AB87" i="2" s="1"/>
  <c r="L87" i="2"/>
  <c r="F87" i="2"/>
  <c r="E87" i="2"/>
  <c r="R87" i="2" s="1"/>
  <c r="AA86" i="2"/>
  <c r="R86" i="2"/>
  <c r="S86" i="2" s="1"/>
  <c r="Q86" i="2"/>
  <c r="P86" i="2"/>
  <c r="O86" i="2"/>
  <c r="L86" i="2"/>
  <c r="N86" i="2" s="1"/>
  <c r="G86" i="2"/>
  <c r="F86" i="2"/>
  <c r="M86" i="2" s="1"/>
  <c r="AB86" i="2" s="1"/>
  <c r="E86" i="2"/>
  <c r="M85" i="2"/>
  <c r="AB85" i="2" s="1"/>
  <c r="L85" i="2"/>
  <c r="F85" i="2"/>
  <c r="E85" i="2"/>
  <c r="R84" i="2"/>
  <c r="S84" i="2" s="1"/>
  <c r="Q84" i="2"/>
  <c r="L84" i="2"/>
  <c r="F84" i="2"/>
  <c r="E84" i="2"/>
  <c r="AA83" i="2"/>
  <c r="Q83" i="2"/>
  <c r="P83" i="2"/>
  <c r="O83" i="2"/>
  <c r="N83" i="2"/>
  <c r="L83" i="2"/>
  <c r="F83" i="2"/>
  <c r="E83" i="2"/>
  <c r="L82" i="2"/>
  <c r="F82" i="2"/>
  <c r="E82" i="2"/>
  <c r="AB81" i="2"/>
  <c r="AA81" i="2"/>
  <c r="R81" i="2"/>
  <c r="S81" i="2" s="1"/>
  <c r="Q81" i="2"/>
  <c r="P81" i="2"/>
  <c r="M81" i="2"/>
  <c r="L81" i="2"/>
  <c r="O81" i="2" s="1"/>
  <c r="F81" i="2"/>
  <c r="G81" i="2" s="1"/>
  <c r="E81" i="2"/>
  <c r="AA80" i="2"/>
  <c r="Q80" i="2"/>
  <c r="P80" i="2"/>
  <c r="O80" i="2"/>
  <c r="N80" i="2"/>
  <c r="M80" i="2"/>
  <c r="AB80" i="2" s="1"/>
  <c r="L80" i="2"/>
  <c r="F80" i="2"/>
  <c r="E80" i="2"/>
  <c r="L79" i="2"/>
  <c r="F79" i="2"/>
  <c r="E79" i="2"/>
  <c r="R79" i="2" s="1"/>
  <c r="S79" i="2" s="1"/>
  <c r="AB78" i="2"/>
  <c r="AA78" i="2"/>
  <c r="S78" i="2"/>
  <c r="R78" i="2"/>
  <c r="Q78" i="2"/>
  <c r="P78" i="2"/>
  <c r="O78" i="2"/>
  <c r="L78" i="2"/>
  <c r="N78" i="2" s="1"/>
  <c r="G78" i="2"/>
  <c r="F78" i="2"/>
  <c r="M78" i="2" s="1"/>
  <c r="E78" i="2"/>
  <c r="AA77" i="2"/>
  <c r="P77" i="2"/>
  <c r="O77" i="2"/>
  <c r="N77" i="2"/>
  <c r="M77" i="2"/>
  <c r="AB77" i="2" s="1"/>
  <c r="L77" i="2"/>
  <c r="Q77" i="2" s="1"/>
  <c r="F77" i="2"/>
  <c r="E77" i="2"/>
  <c r="G77" i="2" s="1"/>
  <c r="AB76" i="2"/>
  <c r="M76" i="2"/>
  <c r="L76" i="2"/>
  <c r="F76" i="2"/>
  <c r="E76" i="2"/>
  <c r="R76" i="2" s="1"/>
  <c r="S76" i="2" s="1"/>
  <c r="AB75" i="2"/>
  <c r="AA75" i="2"/>
  <c r="R75" i="2"/>
  <c r="S75" i="2" s="1"/>
  <c r="Q75" i="2"/>
  <c r="P75" i="2"/>
  <c r="O75" i="2"/>
  <c r="N75" i="2"/>
  <c r="L75" i="2"/>
  <c r="G75" i="2"/>
  <c r="F75" i="2"/>
  <c r="M75" i="2" s="1"/>
  <c r="E75" i="2"/>
  <c r="O74" i="2"/>
  <c r="L74" i="2"/>
  <c r="F74" i="2"/>
  <c r="E74" i="2"/>
  <c r="G74" i="2" s="1"/>
  <c r="S73" i="2"/>
  <c r="R73" i="2"/>
  <c r="L73" i="2"/>
  <c r="F73" i="2"/>
  <c r="G73" i="2" s="1"/>
  <c r="E73" i="2"/>
  <c r="AA72" i="2"/>
  <c r="Q72" i="2"/>
  <c r="P72" i="2"/>
  <c r="O72" i="2"/>
  <c r="N72" i="2"/>
  <c r="M72" i="2"/>
  <c r="AB72" i="2" s="1"/>
  <c r="L72" i="2"/>
  <c r="F72" i="2"/>
  <c r="E72" i="2"/>
  <c r="G72" i="2" s="1"/>
  <c r="W71" i="2"/>
  <c r="M71" i="2"/>
  <c r="AB71" i="2" s="1"/>
  <c r="L71" i="2"/>
  <c r="G71" i="2"/>
  <c r="F71" i="2"/>
  <c r="E71" i="2"/>
  <c r="AA70" i="2"/>
  <c r="R70" i="2"/>
  <c r="S70" i="2" s="1"/>
  <c r="Q70" i="2"/>
  <c r="P70" i="2"/>
  <c r="L70" i="2"/>
  <c r="F70" i="2"/>
  <c r="G70" i="2" s="1"/>
  <c r="E70" i="2"/>
  <c r="AA69" i="2"/>
  <c r="Q69" i="2"/>
  <c r="P69" i="2"/>
  <c r="O69" i="2"/>
  <c r="N69" i="2"/>
  <c r="L69" i="2"/>
  <c r="F69" i="2"/>
  <c r="E69" i="2"/>
  <c r="R68" i="2"/>
  <c r="S68" i="2" s="1"/>
  <c r="M68" i="2"/>
  <c r="AB68" i="2" s="1"/>
  <c r="L68" i="2"/>
  <c r="F68" i="2"/>
  <c r="E68" i="2"/>
  <c r="AA67" i="2"/>
  <c r="S67" i="2"/>
  <c r="R67" i="2"/>
  <c r="L67" i="2"/>
  <c r="F67" i="2"/>
  <c r="G67" i="2" s="1"/>
  <c r="E67" i="2"/>
  <c r="AA66" i="2"/>
  <c r="Q66" i="2"/>
  <c r="P66" i="2"/>
  <c r="O66" i="2"/>
  <c r="N66" i="2"/>
  <c r="M66" i="2"/>
  <c r="AB66" i="2" s="1"/>
  <c r="L66" i="2"/>
  <c r="F66" i="2"/>
  <c r="E66" i="2"/>
  <c r="G66" i="2" s="1"/>
  <c r="R65" i="2"/>
  <c r="S65" i="2" s="1"/>
  <c r="L65" i="2"/>
  <c r="F65" i="2"/>
  <c r="E65" i="2"/>
  <c r="AB64" i="2"/>
  <c r="AA64" i="2"/>
  <c r="S64" i="2"/>
  <c r="R64" i="2"/>
  <c r="Q64" i="2"/>
  <c r="P64" i="2"/>
  <c r="O64" i="2"/>
  <c r="L64" i="2"/>
  <c r="N64" i="2" s="1"/>
  <c r="G64" i="2"/>
  <c r="F64" i="2"/>
  <c r="M64" i="2" s="1"/>
  <c r="E64" i="2"/>
  <c r="AA63" i="2"/>
  <c r="P63" i="2"/>
  <c r="O63" i="2"/>
  <c r="N63" i="2"/>
  <c r="M63" i="2"/>
  <c r="AB63" i="2" s="1"/>
  <c r="L63" i="2"/>
  <c r="Q63" i="2" s="1"/>
  <c r="F63" i="2"/>
  <c r="E63" i="2"/>
  <c r="G63" i="2" s="1"/>
  <c r="AB62" i="2"/>
  <c r="M62" i="2"/>
  <c r="L62" i="2"/>
  <c r="F62" i="2"/>
  <c r="E62" i="2"/>
  <c r="R62" i="2" s="1"/>
  <c r="S62" i="2" s="1"/>
  <c r="AA61" i="2"/>
  <c r="R61" i="2"/>
  <c r="S61" i="2" s="1"/>
  <c r="Q61" i="2"/>
  <c r="P61" i="2"/>
  <c r="O61" i="2"/>
  <c r="N61" i="2"/>
  <c r="L61" i="2"/>
  <c r="G61" i="2"/>
  <c r="F61" i="2"/>
  <c r="M61" i="2" s="1"/>
  <c r="AB61" i="2" s="1"/>
  <c r="E61" i="2"/>
  <c r="O60" i="2"/>
  <c r="N60" i="2"/>
  <c r="L60" i="2"/>
  <c r="F60" i="2"/>
  <c r="E60" i="2"/>
  <c r="AB59" i="2"/>
  <c r="M59" i="2"/>
  <c r="L59" i="2"/>
  <c r="F59" i="2"/>
  <c r="E59" i="2"/>
  <c r="G59" i="2" s="1"/>
  <c r="AA58" i="2"/>
  <c r="Q58" i="2"/>
  <c r="P58" i="2"/>
  <c r="O58" i="2"/>
  <c r="N58" i="2"/>
  <c r="L58" i="2"/>
  <c r="G58" i="2"/>
  <c r="F58" i="2"/>
  <c r="E58" i="2"/>
  <c r="M57" i="2"/>
  <c r="AB57" i="2" s="1"/>
  <c r="L57" i="2"/>
  <c r="G57" i="2"/>
  <c r="F57" i="2"/>
  <c r="E57" i="2"/>
  <c r="AA56" i="2"/>
  <c r="R56" i="2"/>
  <c r="S56" i="2" s="1"/>
  <c r="Q56" i="2"/>
  <c r="P56" i="2"/>
  <c r="L56" i="2"/>
  <c r="F56" i="2"/>
  <c r="G56" i="2" s="1"/>
  <c r="E56" i="2"/>
  <c r="AA55" i="2"/>
  <c r="Q55" i="2"/>
  <c r="P55" i="2"/>
  <c r="O55" i="2"/>
  <c r="N55" i="2"/>
  <c r="L55" i="2"/>
  <c r="F55" i="2"/>
  <c r="E55" i="2"/>
  <c r="R54" i="2"/>
  <c r="S54" i="2" s="1"/>
  <c r="M54" i="2"/>
  <c r="AB54" i="2" s="1"/>
  <c r="L54" i="2"/>
  <c r="F54" i="2"/>
  <c r="E54" i="2"/>
  <c r="AA53" i="2"/>
  <c r="S53" i="2"/>
  <c r="R53" i="2"/>
  <c r="L53" i="2"/>
  <c r="F53" i="2"/>
  <c r="G53" i="2" s="1"/>
  <c r="E53" i="2"/>
  <c r="M52" i="2"/>
  <c r="AB52" i="2" s="1"/>
  <c r="L52" i="2"/>
  <c r="Q52" i="2" s="1"/>
  <c r="F52" i="2"/>
  <c r="R52" i="2" s="1"/>
  <c r="S52" i="2" s="1"/>
  <c r="E52" i="2"/>
  <c r="AA51" i="2"/>
  <c r="Q51" i="2"/>
  <c r="P51" i="2"/>
  <c r="O51" i="2"/>
  <c r="N51" i="2"/>
  <c r="L51" i="2"/>
  <c r="F51" i="2"/>
  <c r="E51" i="2"/>
  <c r="S50" i="2"/>
  <c r="M50" i="2"/>
  <c r="AB50" i="2" s="1"/>
  <c r="L50" i="2"/>
  <c r="F50" i="2"/>
  <c r="R50" i="2" s="1"/>
  <c r="E50" i="2"/>
  <c r="AB49" i="2"/>
  <c r="AA49" i="2"/>
  <c r="R49" i="2"/>
  <c r="S49" i="2" s="1"/>
  <c r="Q49" i="2"/>
  <c r="P49" i="2"/>
  <c r="O49" i="2"/>
  <c r="M49" i="2"/>
  <c r="L49" i="2"/>
  <c r="N49" i="2" s="1"/>
  <c r="F49" i="2"/>
  <c r="E49" i="2"/>
  <c r="G49" i="2" s="1"/>
  <c r="AA48" i="2"/>
  <c r="P48" i="2"/>
  <c r="O48" i="2"/>
  <c r="N48" i="2"/>
  <c r="L48" i="2"/>
  <c r="Q48" i="2" s="1"/>
  <c r="F48" i="2"/>
  <c r="E48" i="2"/>
  <c r="R47" i="2"/>
  <c r="S47" i="2" s="1"/>
  <c r="M47" i="2"/>
  <c r="AB47" i="2" s="1"/>
  <c r="L47" i="2"/>
  <c r="Q47" i="2" s="1"/>
  <c r="F47" i="2"/>
  <c r="E47" i="2"/>
  <c r="G47" i="2" s="1"/>
  <c r="AA46" i="2"/>
  <c r="R46" i="2"/>
  <c r="S46" i="2" s="1"/>
  <c r="Q46" i="2"/>
  <c r="P46" i="2"/>
  <c r="O46" i="2"/>
  <c r="L46" i="2"/>
  <c r="N46" i="2" s="1"/>
  <c r="G46" i="2"/>
  <c r="F46" i="2"/>
  <c r="M46" i="2" s="1"/>
  <c r="AB46" i="2" s="1"/>
  <c r="E46" i="2"/>
  <c r="M45" i="2"/>
  <c r="AB45" i="2" s="1"/>
  <c r="L45" i="2"/>
  <c r="F45" i="2"/>
  <c r="R45" i="2" s="1"/>
  <c r="S45" i="2" s="1"/>
  <c r="E45" i="2"/>
  <c r="R44" i="2"/>
  <c r="S44" i="2" s="1"/>
  <c r="Q44" i="2"/>
  <c r="L44" i="2"/>
  <c r="AA44" i="2" s="1"/>
  <c r="F44" i="2"/>
  <c r="E44" i="2"/>
  <c r="AA43" i="2"/>
  <c r="Q43" i="2"/>
  <c r="P43" i="2"/>
  <c r="O43" i="2"/>
  <c r="N43" i="2"/>
  <c r="L43" i="2"/>
  <c r="G43" i="2"/>
  <c r="F43" i="2"/>
  <c r="E43" i="2"/>
  <c r="L42" i="2"/>
  <c r="F42" i="2"/>
  <c r="E42" i="2"/>
  <c r="AA41" i="2"/>
  <c r="R41" i="2"/>
  <c r="S41" i="2" s="1"/>
  <c r="Q41" i="2"/>
  <c r="L41" i="2"/>
  <c r="F41" i="2"/>
  <c r="E41" i="2"/>
  <c r="AA40" i="2"/>
  <c r="Q40" i="2"/>
  <c r="P40" i="2"/>
  <c r="O40" i="2"/>
  <c r="N40" i="2"/>
  <c r="L40" i="2"/>
  <c r="G40" i="2"/>
  <c r="F40" i="2"/>
  <c r="E40" i="2"/>
  <c r="N39" i="2"/>
  <c r="L39" i="2"/>
  <c r="F39" i="2"/>
  <c r="E39" i="2"/>
  <c r="AB38" i="2"/>
  <c r="AA38" i="2"/>
  <c r="S38" i="2"/>
  <c r="R38" i="2"/>
  <c r="Q38" i="2"/>
  <c r="P38" i="2"/>
  <c r="M38" i="2"/>
  <c r="L38" i="2"/>
  <c r="O38" i="2" s="1"/>
  <c r="F38" i="2"/>
  <c r="E38" i="2"/>
  <c r="G38" i="2" s="1"/>
  <c r="AA37" i="2"/>
  <c r="Q37" i="2"/>
  <c r="P37" i="2"/>
  <c r="O37" i="2"/>
  <c r="N37" i="2"/>
  <c r="L37" i="2"/>
  <c r="F37" i="2"/>
  <c r="E37" i="2"/>
  <c r="L36" i="2"/>
  <c r="F36" i="2"/>
  <c r="W37" i="2" s="1"/>
  <c r="E36" i="2"/>
  <c r="AA35" i="2"/>
  <c r="S35" i="2"/>
  <c r="R35" i="2"/>
  <c r="Q35" i="2"/>
  <c r="P35" i="2"/>
  <c r="N35" i="2"/>
  <c r="L35" i="2"/>
  <c r="O35" i="2" s="1"/>
  <c r="F35" i="2"/>
  <c r="G35" i="2" s="1"/>
  <c r="E35" i="2"/>
  <c r="AA34" i="2"/>
  <c r="P34" i="2"/>
  <c r="O34" i="2"/>
  <c r="N34" i="2"/>
  <c r="M34" i="2"/>
  <c r="AB34" i="2" s="1"/>
  <c r="L34" i="2"/>
  <c r="Q34" i="2" s="1"/>
  <c r="F34" i="2"/>
  <c r="E34" i="2"/>
  <c r="G34" i="2" s="1"/>
  <c r="M33" i="2"/>
  <c r="AB33" i="2" s="1"/>
  <c r="L33" i="2"/>
  <c r="Q33" i="2" s="1"/>
  <c r="F33" i="2"/>
  <c r="E33" i="2"/>
  <c r="AA32" i="2"/>
  <c r="Q32" i="2"/>
  <c r="P32" i="2"/>
  <c r="N32" i="2"/>
  <c r="M32" i="2"/>
  <c r="AB32" i="2" s="1"/>
  <c r="L32" i="2"/>
  <c r="O32" i="2" s="1"/>
  <c r="F32" i="2"/>
  <c r="E32" i="2"/>
  <c r="AA31" i="2"/>
  <c r="Q31" i="2"/>
  <c r="P31" i="2"/>
  <c r="O31" i="2"/>
  <c r="M31" i="2"/>
  <c r="AB31" i="2" s="1"/>
  <c r="L31" i="2"/>
  <c r="N31" i="2" s="1"/>
  <c r="F31" i="2"/>
  <c r="E31" i="2"/>
  <c r="G31" i="2" s="1"/>
  <c r="R30" i="2"/>
  <c r="S30" i="2" s="1"/>
  <c r="M30" i="2"/>
  <c r="AB30" i="2" s="1"/>
  <c r="L30" i="2"/>
  <c r="F30" i="2"/>
  <c r="E30" i="2"/>
  <c r="R29" i="2"/>
  <c r="S29" i="2" s="1"/>
  <c r="Q29" i="2"/>
  <c r="O29" i="2"/>
  <c r="N29" i="2"/>
  <c r="L29" i="2"/>
  <c r="AA29" i="2" s="1"/>
  <c r="G29" i="2"/>
  <c r="F29" i="2"/>
  <c r="M29" i="2" s="1"/>
  <c r="AB29" i="2" s="1"/>
  <c r="E29" i="2"/>
  <c r="L28" i="2"/>
  <c r="O28" i="2" s="1"/>
  <c r="G28" i="2"/>
  <c r="F28" i="2"/>
  <c r="E28" i="2"/>
  <c r="AB27" i="2"/>
  <c r="M27" i="2"/>
  <c r="L27" i="2"/>
  <c r="Q27" i="2" s="1"/>
  <c r="F27" i="2"/>
  <c r="G27" i="2" s="1"/>
  <c r="E27" i="2"/>
  <c r="AA26" i="2"/>
  <c r="Q26" i="2"/>
  <c r="P26" i="2"/>
  <c r="N26" i="2"/>
  <c r="L26" i="2"/>
  <c r="O26" i="2" s="1"/>
  <c r="F26" i="2"/>
  <c r="E26" i="2"/>
  <c r="O25" i="2"/>
  <c r="N25" i="2"/>
  <c r="L25" i="2"/>
  <c r="Q25" i="2" s="1"/>
  <c r="F25" i="2"/>
  <c r="E25" i="2"/>
  <c r="AA24" i="2"/>
  <c r="S24" i="2"/>
  <c r="R24" i="2"/>
  <c r="P24" i="2"/>
  <c r="L24" i="2"/>
  <c r="O24" i="2" s="1"/>
  <c r="G24" i="2"/>
  <c r="F24" i="2"/>
  <c r="M24" i="2" s="1"/>
  <c r="AB24" i="2" s="1"/>
  <c r="E24" i="2"/>
  <c r="AA23" i="2"/>
  <c r="Q23" i="2"/>
  <c r="P23" i="2"/>
  <c r="O23" i="2"/>
  <c r="M23" i="2"/>
  <c r="AB23" i="2" s="1"/>
  <c r="L23" i="2"/>
  <c r="N23" i="2" s="1"/>
  <c r="F23" i="2"/>
  <c r="E23" i="2"/>
  <c r="G23" i="2" s="1"/>
  <c r="M22" i="2"/>
  <c r="AB22" i="2" s="1"/>
  <c r="L22" i="2"/>
  <c r="F22" i="2"/>
  <c r="E22" i="2"/>
  <c r="R22" i="2" s="1"/>
  <c r="S22" i="2" s="1"/>
  <c r="R21" i="2"/>
  <c r="S21" i="2" s="1"/>
  <c r="Q21" i="2"/>
  <c r="O21" i="2"/>
  <c r="N21" i="2"/>
  <c r="L21" i="2"/>
  <c r="AA21" i="2" s="1"/>
  <c r="G21" i="2"/>
  <c r="F21" i="2"/>
  <c r="M21" i="2" s="1"/>
  <c r="AB21" i="2" s="1"/>
  <c r="E21" i="2"/>
  <c r="O20" i="2"/>
  <c r="L20" i="2"/>
  <c r="G20" i="2"/>
  <c r="F20" i="2"/>
  <c r="E20" i="2"/>
  <c r="AB19" i="2"/>
  <c r="M19" i="2"/>
  <c r="L19" i="2"/>
  <c r="F19" i="2"/>
  <c r="G19" i="2" s="1"/>
  <c r="E19" i="2"/>
  <c r="AA18" i="2"/>
  <c r="Q18" i="2"/>
  <c r="P18" i="2"/>
  <c r="N18" i="2"/>
  <c r="L18" i="2"/>
  <c r="O18" i="2" s="1"/>
  <c r="F18" i="2"/>
  <c r="E18" i="2"/>
  <c r="O17" i="2"/>
  <c r="N17" i="2"/>
  <c r="M17" i="2"/>
  <c r="AB17" i="2" s="1"/>
  <c r="L17" i="2"/>
  <c r="Q17" i="2" s="1"/>
  <c r="F17" i="2"/>
  <c r="E17" i="2"/>
  <c r="AA16" i="2"/>
  <c r="R16" i="2"/>
  <c r="S16" i="2" s="1"/>
  <c r="P16" i="2"/>
  <c r="L16" i="2"/>
  <c r="O16" i="2" s="1"/>
  <c r="G16" i="2"/>
  <c r="F16" i="2"/>
  <c r="M16" i="2" s="1"/>
  <c r="AB16" i="2" s="1"/>
  <c r="E16" i="2"/>
  <c r="AB15" i="2"/>
  <c r="AA15" i="2"/>
  <c r="Q15" i="2"/>
  <c r="P15" i="2"/>
  <c r="O15" i="2"/>
  <c r="M15" i="2"/>
  <c r="L15" i="2"/>
  <c r="N15" i="2" s="1"/>
  <c r="F15" i="2"/>
  <c r="E15" i="2"/>
  <c r="G15" i="2" s="1"/>
  <c r="L14" i="2"/>
  <c r="F14" i="2"/>
  <c r="E14" i="2"/>
  <c r="AB13" i="2"/>
  <c r="R13" i="2"/>
  <c r="S13" i="2" s="1"/>
  <c r="Q13" i="2"/>
  <c r="O13" i="2"/>
  <c r="N13" i="2"/>
  <c r="L13" i="2"/>
  <c r="AA13" i="2" s="1"/>
  <c r="G13" i="2"/>
  <c r="F13" i="2"/>
  <c r="M13" i="2" s="1"/>
  <c r="E13" i="2"/>
  <c r="L12" i="2"/>
  <c r="Q12" i="2" s="1"/>
  <c r="F12" i="2"/>
  <c r="G12" i="2" s="1"/>
  <c r="J7" i="2"/>
  <c r="L4" i="2"/>
  <c r="I3" i="2"/>
  <c r="W84" i="5"/>
  <c r="R13" i="7" l="1"/>
  <c r="R27" i="7"/>
  <c r="V13" i="7"/>
  <c r="W12" i="7"/>
  <c r="AB12" i="7" s="1"/>
  <c r="R12" i="7"/>
  <c r="Q36" i="7"/>
  <c r="R36" i="7" s="1"/>
  <c r="N36" i="7"/>
  <c r="S12" i="7"/>
  <c r="P13" i="7"/>
  <c r="M14" i="7"/>
  <c r="P87" i="7" s="1"/>
  <c r="N18" i="7"/>
  <c r="O19" i="7"/>
  <c r="G20" i="7"/>
  <c r="S20" i="7"/>
  <c r="T20" i="7" s="1"/>
  <c r="U20" i="7" s="1"/>
  <c r="Q20" i="7"/>
  <c r="R20" i="7" s="1"/>
  <c r="O33" i="7"/>
  <c r="N33" i="7"/>
  <c r="G49" i="7"/>
  <c r="M49" i="7"/>
  <c r="G14" i="7"/>
  <c r="O14" i="7"/>
  <c r="P18" i="7"/>
  <c r="R19" i="7"/>
  <c r="P25" i="7"/>
  <c r="M27" i="7"/>
  <c r="Q28" i="7"/>
  <c r="R28" i="7" s="1"/>
  <c r="N28" i="7"/>
  <c r="G35" i="7"/>
  <c r="Q46" i="7"/>
  <c r="N46" i="7"/>
  <c r="O46" i="7"/>
  <c r="Q49" i="7"/>
  <c r="P49" i="7"/>
  <c r="O49" i="7"/>
  <c r="N49" i="7"/>
  <c r="R55" i="7"/>
  <c r="S79" i="7"/>
  <c r="T79" i="7" s="1"/>
  <c r="U79" i="7" s="1"/>
  <c r="M79" i="7"/>
  <c r="S46" i="7"/>
  <c r="T46" i="7" s="1"/>
  <c r="U46" i="7" s="1"/>
  <c r="M46" i="7"/>
  <c r="G46" i="7"/>
  <c r="S53" i="7"/>
  <c r="T53" i="7" s="1"/>
  <c r="U53" i="7" s="1"/>
  <c r="M53" i="7"/>
  <c r="G53" i="7"/>
  <c r="F81" i="7"/>
  <c r="N12" i="7"/>
  <c r="N84" i="7" s="1"/>
  <c r="N85" i="7" s="1"/>
  <c r="N86" i="7" s="1"/>
  <c r="P14" i="7"/>
  <c r="M15" i="7"/>
  <c r="R15" i="7" s="1"/>
  <c r="N24" i="7"/>
  <c r="O24" i="7"/>
  <c r="Q25" i="7"/>
  <c r="R25" i="7" s="1"/>
  <c r="R33" i="7"/>
  <c r="O36" i="7"/>
  <c r="R38" i="7"/>
  <c r="R40" i="7"/>
  <c r="P41" i="7"/>
  <c r="O41" i="7"/>
  <c r="N41" i="7"/>
  <c r="O42" i="7"/>
  <c r="P42" i="7"/>
  <c r="N42" i="7"/>
  <c r="S49" i="7"/>
  <c r="T49" i="7" s="1"/>
  <c r="U49" i="7" s="1"/>
  <c r="G79" i="7"/>
  <c r="O12" i="7"/>
  <c r="G25" i="7"/>
  <c r="S25" i="7"/>
  <c r="T25" i="7" s="1"/>
  <c r="U25" i="7" s="1"/>
  <c r="S30" i="7"/>
  <c r="T30" i="7" s="1"/>
  <c r="U30" i="7" s="1"/>
  <c r="G30" i="7"/>
  <c r="P36" i="7"/>
  <c r="S38" i="7"/>
  <c r="T38" i="7" s="1"/>
  <c r="U38" i="7" s="1"/>
  <c r="G38" i="7"/>
  <c r="P12" i="7"/>
  <c r="G15" i="7"/>
  <c r="O15" i="7"/>
  <c r="G22" i="7"/>
  <c r="P24" i="7"/>
  <c r="P28" i="7"/>
  <c r="N29" i="7"/>
  <c r="O29" i="7"/>
  <c r="N37" i="7"/>
  <c r="O37" i="7"/>
  <c r="Q41" i="7"/>
  <c r="R41" i="7" s="1"/>
  <c r="M50" i="7"/>
  <c r="R50" i="7" s="1"/>
  <c r="S50" i="7"/>
  <c r="T50" i="7" s="1"/>
  <c r="U50" i="7" s="1"/>
  <c r="G50" i="7"/>
  <c r="S51" i="7"/>
  <c r="T51" i="7" s="1"/>
  <c r="U51" i="7" s="1"/>
  <c r="G51" i="7"/>
  <c r="Q64" i="7"/>
  <c r="R64" i="7" s="1"/>
  <c r="P64" i="7"/>
  <c r="N64" i="7"/>
  <c r="O64" i="7"/>
  <c r="R65" i="7"/>
  <c r="M35" i="7"/>
  <c r="R35" i="7" s="1"/>
  <c r="S14" i="7"/>
  <c r="T14" i="7" s="1"/>
  <c r="U14" i="7" s="1"/>
  <c r="S17" i="7"/>
  <c r="T17" i="7" s="1"/>
  <c r="U17" i="7" s="1"/>
  <c r="N20" i="7"/>
  <c r="S22" i="7"/>
  <c r="T22" i="7" s="1"/>
  <c r="U22" i="7" s="1"/>
  <c r="Q23" i="7"/>
  <c r="R23" i="7" s="1"/>
  <c r="N23" i="7"/>
  <c r="Q24" i="7"/>
  <c r="R24" i="7" s="1"/>
  <c r="Q32" i="7"/>
  <c r="R32" i="7" s="1"/>
  <c r="N32" i="7"/>
  <c r="G39" i="7"/>
  <c r="M39" i="7"/>
  <c r="S43" i="7"/>
  <c r="T43" i="7" s="1"/>
  <c r="U43" i="7" s="1"/>
  <c r="M43" i="7"/>
  <c r="G43" i="7"/>
  <c r="R53" i="7"/>
  <c r="Q70" i="7"/>
  <c r="R70" i="7" s="1"/>
  <c r="P70" i="7"/>
  <c r="O70" i="7"/>
  <c r="N70" i="7"/>
  <c r="G26" i="7"/>
  <c r="S26" i="7"/>
  <c r="T26" i="7" s="1"/>
  <c r="U26" i="7" s="1"/>
  <c r="M31" i="7"/>
  <c r="S31" i="7"/>
  <c r="T31" i="7" s="1"/>
  <c r="U31" i="7" s="1"/>
  <c r="G34" i="7"/>
  <c r="S34" i="7"/>
  <c r="T34" i="7" s="1"/>
  <c r="U34" i="7" s="1"/>
  <c r="G54" i="7"/>
  <c r="S54" i="7"/>
  <c r="T54" i="7" s="1"/>
  <c r="U54" i="7" s="1"/>
  <c r="M54" i="7"/>
  <c r="R73" i="7"/>
  <c r="G24" i="7"/>
  <c r="G29" i="7"/>
  <c r="Q31" i="7"/>
  <c r="R31" i="7" s="1"/>
  <c r="S33" i="7"/>
  <c r="T33" i="7" s="1"/>
  <c r="U33" i="7" s="1"/>
  <c r="P34" i="7"/>
  <c r="Q39" i="7"/>
  <c r="R39" i="7" s="1"/>
  <c r="N40" i="7"/>
  <c r="G44" i="7"/>
  <c r="O52" i="7"/>
  <c r="N52" i="7"/>
  <c r="P52" i="7"/>
  <c r="G56" i="7"/>
  <c r="O57" i="7"/>
  <c r="N57" i="7"/>
  <c r="P57" i="7"/>
  <c r="Q60" i="7"/>
  <c r="R60" i="7" s="1"/>
  <c r="P60" i="7"/>
  <c r="N60" i="7"/>
  <c r="G70" i="7"/>
  <c r="M70" i="7"/>
  <c r="R43" i="7"/>
  <c r="Q44" i="7"/>
  <c r="R44" i="7" s="1"/>
  <c r="P44" i="7"/>
  <c r="O44" i="7"/>
  <c r="M48" i="7"/>
  <c r="R48" i="7" s="1"/>
  <c r="X49" i="7"/>
  <c r="S48" i="7"/>
  <c r="T48" i="7" s="1"/>
  <c r="U48" i="7" s="1"/>
  <c r="Q54" i="7"/>
  <c r="R54" i="7" s="1"/>
  <c r="P54" i="7"/>
  <c r="O54" i="7"/>
  <c r="R69" i="7"/>
  <c r="S73" i="7"/>
  <c r="T73" i="7" s="1"/>
  <c r="U73" i="7" s="1"/>
  <c r="M73" i="7"/>
  <c r="G41" i="7"/>
  <c r="P47" i="7"/>
  <c r="O47" i="7"/>
  <c r="N47" i="7"/>
  <c r="G48" i="7"/>
  <c r="Q51" i="7"/>
  <c r="R51" i="7" s="1"/>
  <c r="P51" i="7"/>
  <c r="R63" i="7"/>
  <c r="Q68" i="7"/>
  <c r="R68" i="7" s="1"/>
  <c r="P68" i="7"/>
  <c r="N68" i="7"/>
  <c r="S70" i="7"/>
  <c r="T70" i="7" s="1"/>
  <c r="U70" i="7" s="1"/>
  <c r="G73" i="7"/>
  <c r="Q62" i="7"/>
  <c r="R62" i="7" s="1"/>
  <c r="P62" i="7"/>
  <c r="N62" i="7"/>
  <c r="S75" i="7"/>
  <c r="T75" i="7" s="1"/>
  <c r="U75" i="7" s="1"/>
  <c r="M75" i="7"/>
  <c r="R75" i="7" s="1"/>
  <c r="O59" i="7"/>
  <c r="N59" i="7"/>
  <c r="P59" i="7"/>
  <c r="R67" i="7"/>
  <c r="G75" i="7"/>
  <c r="S42" i="7"/>
  <c r="T42" i="7" s="1"/>
  <c r="U42" i="7" s="1"/>
  <c r="O51" i="7"/>
  <c r="S58" i="7"/>
  <c r="T58" i="7" s="1"/>
  <c r="U58" i="7" s="1"/>
  <c r="R61" i="7"/>
  <c r="O62" i="7"/>
  <c r="Q66" i="7"/>
  <c r="R66" i="7" s="1"/>
  <c r="P66" i="7"/>
  <c r="N66" i="7"/>
  <c r="S77" i="7"/>
  <c r="T77" i="7" s="1"/>
  <c r="U77" i="7" s="1"/>
  <c r="M77" i="7"/>
  <c r="R77" i="7" s="1"/>
  <c r="R79" i="7"/>
  <c r="S60" i="7"/>
  <c r="T60" i="7" s="1"/>
  <c r="U60" i="7" s="1"/>
  <c r="S62" i="7"/>
  <c r="T62" i="7" s="1"/>
  <c r="U62" i="7" s="1"/>
  <c r="S64" i="7"/>
  <c r="T64" i="7" s="1"/>
  <c r="U64" i="7" s="1"/>
  <c r="S66" i="7"/>
  <c r="T66" i="7" s="1"/>
  <c r="U66" i="7" s="1"/>
  <c r="S68" i="7"/>
  <c r="T68" i="7" s="1"/>
  <c r="U68" i="7" s="1"/>
  <c r="Q72" i="7"/>
  <c r="R72" i="7" s="1"/>
  <c r="Q74" i="7"/>
  <c r="R74" i="7" s="1"/>
  <c r="Q76" i="7"/>
  <c r="R76" i="7" s="1"/>
  <c r="Q78" i="7"/>
  <c r="R78" i="7" s="1"/>
  <c r="Q80" i="7"/>
  <c r="R80" i="7" s="1"/>
  <c r="M52" i="7"/>
  <c r="R52" i="7" s="1"/>
  <c r="S71" i="7"/>
  <c r="T71" i="7" s="1"/>
  <c r="U71" i="7" s="1"/>
  <c r="N72" i="7"/>
  <c r="N74" i="7"/>
  <c r="N76" i="7"/>
  <c r="N78" i="7"/>
  <c r="N80" i="7"/>
  <c r="G72" i="7"/>
  <c r="O72" i="7"/>
  <c r="G74" i="7"/>
  <c r="O74" i="7"/>
  <c r="G76" i="7"/>
  <c r="O76" i="7"/>
  <c r="G78" i="7"/>
  <c r="O78" i="7"/>
  <c r="G80" i="7"/>
  <c r="O80" i="7"/>
  <c r="C6" i="6"/>
  <c r="D5" i="6"/>
  <c r="R17" i="6"/>
  <c r="R28" i="6"/>
  <c r="W12" i="6"/>
  <c r="Z12" i="6" s="1"/>
  <c r="R15" i="6"/>
  <c r="R19" i="6"/>
  <c r="R30" i="6"/>
  <c r="Q12" i="6"/>
  <c r="R12" i="6" s="1"/>
  <c r="M13" i="6"/>
  <c r="R13" i="6" s="1"/>
  <c r="Q14" i="6"/>
  <c r="R14" i="6" s="1"/>
  <c r="M15" i="6"/>
  <c r="Q16" i="6"/>
  <c r="R16" i="6" s="1"/>
  <c r="M17" i="6"/>
  <c r="Q18" i="6"/>
  <c r="R18" i="6" s="1"/>
  <c r="M19" i="6"/>
  <c r="G21" i="6"/>
  <c r="M24" i="6"/>
  <c r="R24" i="6" s="1"/>
  <c r="G31" i="6"/>
  <c r="O42" i="6"/>
  <c r="Q46" i="6"/>
  <c r="R46" i="6" s="1"/>
  <c r="AA59" i="6"/>
  <c r="Q59" i="6"/>
  <c r="R59" i="6" s="1"/>
  <c r="P59" i="6"/>
  <c r="O59" i="6"/>
  <c r="N59" i="6"/>
  <c r="M30" i="6"/>
  <c r="AA37" i="6"/>
  <c r="Q37" i="6"/>
  <c r="R37" i="6" s="1"/>
  <c r="O37" i="6"/>
  <c r="N37" i="6"/>
  <c r="G13" i="6"/>
  <c r="V13" i="6" s="1"/>
  <c r="O13" i="6"/>
  <c r="G15" i="6"/>
  <c r="G17" i="6"/>
  <c r="G19" i="6"/>
  <c r="G27" i="6"/>
  <c r="G30" i="6"/>
  <c r="G32" i="6"/>
  <c r="M32" i="6"/>
  <c r="R32" i="6" s="1"/>
  <c r="AA38" i="6"/>
  <c r="Q38" i="6"/>
  <c r="R38" i="6" s="1"/>
  <c r="N38" i="6"/>
  <c r="T12" i="6"/>
  <c r="U12" i="6" s="1"/>
  <c r="U13" i="6" s="1"/>
  <c r="U14" i="6" s="1"/>
  <c r="U15" i="6" s="1"/>
  <c r="U16" i="6" s="1"/>
  <c r="U17" i="6" s="1"/>
  <c r="U18" i="6" s="1"/>
  <c r="U19" i="6" s="1"/>
  <c r="U20" i="6" s="1"/>
  <c r="U21" i="6" s="1"/>
  <c r="AA21" i="6"/>
  <c r="Q21" i="6"/>
  <c r="R21" i="6" s="1"/>
  <c r="P21" i="6"/>
  <c r="M26" i="6"/>
  <c r="R26" i="6" s="1"/>
  <c r="S30" i="6"/>
  <c r="T30" i="6" s="1"/>
  <c r="S32" i="6"/>
  <c r="T32" i="6" s="1"/>
  <c r="P37" i="6"/>
  <c r="AA56" i="6"/>
  <c r="Q56" i="6"/>
  <c r="R56" i="6" s="1"/>
  <c r="P56" i="6"/>
  <c r="O56" i="6"/>
  <c r="N56" i="6"/>
  <c r="M22" i="6"/>
  <c r="R22" i="6" s="1"/>
  <c r="P35" i="6"/>
  <c r="O35" i="6"/>
  <c r="N35" i="6"/>
  <c r="AA39" i="6"/>
  <c r="Q39" i="6"/>
  <c r="R39" i="6" s="1"/>
  <c r="O39" i="6"/>
  <c r="N39" i="6"/>
  <c r="S43" i="6"/>
  <c r="T43" i="6" s="1"/>
  <c r="G43" i="6"/>
  <c r="M43" i="6"/>
  <c r="S76" i="6"/>
  <c r="T76" i="6" s="1"/>
  <c r="G76" i="6"/>
  <c r="X77" i="6"/>
  <c r="M76" i="6"/>
  <c r="F81" i="6"/>
  <c r="F82" i="6" s="1"/>
  <c r="G22" i="6"/>
  <c r="G29" i="6"/>
  <c r="S29" i="6"/>
  <c r="T29" i="6" s="1"/>
  <c r="P38" i="6"/>
  <c r="AA40" i="6"/>
  <c r="Q40" i="6"/>
  <c r="R40" i="6" s="1"/>
  <c r="N40" i="6"/>
  <c r="M42" i="6"/>
  <c r="R42" i="6" s="1"/>
  <c r="S42" i="6"/>
  <c r="T42" i="6" s="1"/>
  <c r="AA76" i="6"/>
  <c r="Q76" i="6"/>
  <c r="R76" i="6" s="1"/>
  <c r="P76" i="6"/>
  <c r="O76" i="6"/>
  <c r="N76" i="6"/>
  <c r="M27" i="6"/>
  <c r="M28" i="6"/>
  <c r="S33" i="6"/>
  <c r="T33" i="6" s="1"/>
  <c r="G33" i="6"/>
  <c r="X34" i="6"/>
  <c r="Q35" i="6"/>
  <c r="R35" i="6" s="1"/>
  <c r="P39" i="6"/>
  <c r="P46" i="6"/>
  <c r="N46" i="6"/>
  <c r="O46" i="6"/>
  <c r="S22" i="6"/>
  <c r="T22" i="6" s="1"/>
  <c r="G25" i="6"/>
  <c r="S25" i="6"/>
  <c r="T25" i="6" s="1"/>
  <c r="G28" i="6"/>
  <c r="S31" i="6"/>
  <c r="T31" i="6" s="1"/>
  <c r="G34" i="6"/>
  <c r="M34" i="6"/>
  <c r="R34" i="6" s="1"/>
  <c r="S34" i="6"/>
  <c r="T34" i="6" s="1"/>
  <c r="Q41" i="6"/>
  <c r="R41" i="6" s="1"/>
  <c r="O41" i="6"/>
  <c r="N41" i="6"/>
  <c r="AA41" i="6"/>
  <c r="P42" i="6"/>
  <c r="N42" i="6"/>
  <c r="AA73" i="6"/>
  <c r="Q73" i="6"/>
  <c r="R73" i="6" s="1"/>
  <c r="P73" i="6"/>
  <c r="O73" i="6"/>
  <c r="N73" i="6"/>
  <c r="S35" i="6"/>
  <c r="T35" i="6" s="1"/>
  <c r="G36" i="6"/>
  <c r="P44" i="6"/>
  <c r="N44" i="6"/>
  <c r="S57" i="6"/>
  <c r="T57" i="6" s="1"/>
  <c r="G60" i="6"/>
  <c r="S70" i="6"/>
  <c r="T70" i="6" s="1"/>
  <c r="AA48" i="6"/>
  <c r="P48" i="6"/>
  <c r="N48" i="6"/>
  <c r="S59" i="6"/>
  <c r="T59" i="6" s="1"/>
  <c r="S73" i="6"/>
  <c r="T73" i="6" s="1"/>
  <c r="P23" i="6"/>
  <c r="P25" i="6"/>
  <c r="P27" i="6"/>
  <c r="P29" i="6"/>
  <c r="P31" i="6"/>
  <c r="P33" i="6"/>
  <c r="G35" i="6"/>
  <c r="R43" i="6"/>
  <c r="AA54" i="6"/>
  <c r="Q54" i="6"/>
  <c r="R54" i="6" s="1"/>
  <c r="P54" i="6"/>
  <c r="O54" i="6"/>
  <c r="N54" i="6"/>
  <c r="S68" i="6"/>
  <c r="T68" i="6" s="1"/>
  <c r="M71" i="6"/>
  <c r="S71" i="6"/>
  <c r="T71" i="6" s="1"/>
  <c r="Q23" i="6"/>
  <c r="R23" i="6" s="1"/>
  <c r="Q25" i="6"/>
  <c r="R25" i="6" s="1"/>
  <c r="Q27" i="6"/>
  <c r="R27" i="6" s="1"/>
  <c r="Q29" i="6"/>
  <c r="R29" i="6" s="1"/>
  <c r="Q31" i="6"/>
  <c r="R31" i="6" s="1"/>
  <c r="Q33" i="6"/>
  <c r="R33" i="6" s="1"/>
  <c r="O48" i="6"/>
  <c r="AA50" i="6"/>
  <c r="Q50" i="6"/>
  <c r="R50" i="6" s="1"/>
  <c r="P50" i="6"/>
  <c r="N50" i="6"/>
  <c r="M63" i="6"/>
  <c r="S63" i="6"/>
  <c r="T63" i="6" s="1"/>
  <c r="S65" i="6"/>
  <c r="T65" i="6" s="1"/>
  <c r="G65" i="6"/>
  <c r="G68" i="6"/>
  <c r="G71" i="6"/>
  <c r="S79" i="6"/>
  <c r="T79" i="6" s="1"/>
  <c r="G79" i="6"/>
  <c r="AA52" i="6"/>
  <c r="Q52" i="6"/>
  <c r="R52" i="6" s="1"/>
  <c r="P52" i="6"/>
  <c r="O52" i="6"/>
  <c r="N52" i="6"/>
  <c r="AA65" i="6"/>
  <c r="Q65" i="6"/>
  <c r="R65" i="6" s="1"/>
  <c r="P65" i="6"/>
  <c r="O65" i="6"/>
  <c r="AA70" i="6"/>
  <c r="Q70" i="6"/>
  <c r="R70" i="6" s="1"/>
  <c r="P70" i="6"/>
  <c r="O70" i="6"/>
  <c r="N70" i="6"/>
  <c r="AA79" i="6"/>
  <c r="Q79" i="6"/>
  <c r="R79" i="6" s="1"/>
  <c r="P79" i="6"/>
  <c r="O79" i="6"/>
  <c r="M60" i="6"/>
  <c r="S60" i="6"/>
  <c r="T60" i="6" s="1"/>
  <c r="AA62" i="6"/>
  <c r="Q62" i="6"/>
  <c r="R62" i="6" s="1"/>
  <c r="P62" i="6"/>
  <c r="O62" i="6"/>
  <c r="N62" i="6"/>
  <c r="AA67" i="6"/>
  <c r="Q67" i="6"/>
  <c r="P67" i="6"/>
  <c r="O67" i="6"/>
  <c r="N67" i="6"/>
  <c r="M74" i="6"/>
  <c r="S74" i="6"/>
  <c r="T74" i="6" s="1"/>
  <c r="S58" i="6"/>
  <c r="T58" i="6" s="1"/>
  <c r="Q60" i="6"/>
  <c r="R60" i="6" s="1"/>
  <c r="S61" i="6"/>
  <c r="T61" i="6" s="1"/>
  <c r="Q63" i="6"/>
  <c r="R63" i="6" s="1"/>
  <c r="M67" i="6"/>
  <c r="S69" i="6"/>
  <c r="T69" i="6" s="1"/>
  <c r="Q71" i="6"/>
  <c r="R71" i="6" s="1"/>
  <c r="Q74" i="6"/>
  <c r="M58" i="6"/>
  <c r="R58" i="6" s="1"/>
  <c r="M61" i="6"/>
  <c r="R61" i="6" s="1"/>
  <c r="G67" i="6"/>
  <c r="M69" i="6"/>
  <c r="R69" i="6" s="1"/>
  <c r="N58" i="6"/>
  <c r="N61" i="6"/>
  <c r="R16" i="5"/>
  <c r="R19" i="5"/>
  <c r="R13" i="5"/>
  <c r="F83" i="5"/>
  <c r="V12" i="5"/>
  <c r="M16" i="5"/>
  <c r="G23" i="5"/>
  <c r="G25" i="5"/>
  <c r="G26" i="5"/>
  <c r="M30" i="5"/>
  <c r="G32" i="5"/>
  <c r="S33" i="5"/>
  <c r="T33" i="5" s="1"/>
  <c r="U33" i="5" s="1"/>
  <c r="G38" i="5"/>
  <c r="R39" i="5"/>
  <c r="S63" i="5"/>
  <c r="T63" i="5" s="1"/>
  <c r="U63" i="5" s="1"/>
  <c r="M63" i="5"/>
  <c r="G63" i="5"/>
  <c r="G16" i="5"/>
  <c r="O16" i="5"/>
  <c r="S17" i="5"/>
  <c r="T17" i="5" s="1"/>
  <c r="U17" i="5" s="1"/>
  <c r="N18" i="5"/>
  <c r="N89" i="5" s="1"/>
  <c r="N20" i="5"/>
  <c r="S21" i="5"/>
  <c r="T21" i="5" s="1"/>
  <c r="U21" i="5" s="1"/>
  <c r="R30" i="5"/>
  <c r="G34" i="5"/>
  <c r="S50" i="5"/>
  <c r="T50" i="5" s="1"/>
  <c r="U50" i="5" s="1"/>
  <c r="G50" i="5"/>
  <c r="M13" i="5"/>
  <c r="M15" i="5"/>
  <c r="R15" i="5" s="1"/>
  <c r="P16" i="5"/>
  <c r="G18" i="5"/>
  <c r="O18" i="5"/>
  <c r="G20" i="5"/>
  <c r="O20" i="5"/>
  <c r="S23" i="5"/>
  <c r="T23" i="5" s="1"/>
  <c r="U23" i="5" s="1"/>
  <c r="S25" i="5"/>
  <c r="T25" i="5" s="1"/>
  <c r="U25" i="5" s="1"/>
  <c r="G28" i="5"/>
  <c r="R36" i="5"/>
  <c r="P18" i="5"/>
  <c r="P20" i="5"/>
  <c r="P22" i="5"/>
  <c r="Q22" i="5"/>
  <c r="R22" i="5" s="1"/>
  <c r="P24" i="5"/>
  <c r="Q24" i="5"/>
  <c r="G30" i="5"/>
  <c r="N44" i="5"/>
  <c r="Q44" i="5"/>
  <c r="R44" i="5" s="1"/>
  <c r="O44" i="5"/>
  <c r="Q45" i="5"/>
  <c r="R45" i="5" s="1"/>
  <c r="O45" i="5"/>
  <c r="N45" i="5"/>
  <c r="J6" i="5"/>
  <c r="S12" i="5"/>
  <c r="G13" i="5"/>
  <c r="S14" i="5"/>
  <c r="T14" i="5" s="1"/>
  <c r="U14" i="5" s="1"/>
  <c r="G15" i="5"/>
  <c r="N17" i="5"/>
  <c r="N21" i="5"/>
  <c r="M22" i="5"/>
  <c r="M24" i="5"/>
  <c r="M26" i="5"/>
  <c r="Q86" i="5" s="1"/>
  <c r="Q87" i="5" s="1"/>
  <c r="Q88" i="5" s="1"/>
  <c r="S27" i="5"/>
  <c r="T27" i="5" s="1"/>
  <c r="U27" i="5" s="1"/>
  <c r="R31" i="5"/>
  <c r="R32" i="5"/>
  <c r="G36" i="5"/>
  <c r="R37" i="5"/>
  <c r="N42" i="5"/>
  <c r="Q42" i="5"/>
  <c r="R42" i="5" s="1"/>
  <c r="O42" i="5"/>
  <c r="Q43" i="5"/>
  <c r="O43" i="5"/>
  <c r="N43" i="5"/>
  <c r="P45" i="5"/>
  <c r="S16" i="5"/>
  <c r="T16" i="5" s="1"/>
  <c r="U16" i="5" s="1"/>
  <c r="N22" i="5"/>
  <c r="N86" i="5" s="1"/>
  <c r="N87" i="5" s="1"/>
  <c r="N88" i="5" s="1"/>
  <c r="N24" i="5"/>
  <c r="S29" i="5"/>
  <c r="T29" i="5" s="1"/>
  <c r="U29" i="5" s="1"/>
  <c r="S31" i="5"/>
  <c r="T31" i="5" s="1"/>
  <c r="U31" i="5" s="1"/>
  <c r="R38" i="5"/>
  <c r="N40" i="5"/>
  <c r="Q40" i="5"/>
  <c r="R40" i="5" s="1"/>
  <c r="O40" i="5"/>
  <c r="Q41" i="5"/>
  <c r="R41" i="5" s="1"/>
  <c r="O41" i="5"/>
  <c r="N41" i="5"/>
  <c r="P44" i="5"/>
  <c r="P26" i="5"/>
  <c r="P28" i="5"/>
  <c r="P30" i="5"/>
  <c r="P32" i="5"/>
  <c r="G40" i="5"/>
  <c r="S41" i="5"/>
  <c r="T41" i="5" s="1"/>
  <c r="U41" i="5" s="1"/>
  <c r="G42" i="5"/>
  <c r="S43" i="5"/>
  <c r="T43" i="5" s="1"/>
  <c r="U43" i="5" s="1"/>
  <c r="G44" i="5"/>
  <c r="S45" i="5"/>
  <c r="T45" i="5" s="1"/>
  <c r="U45" i="5" s="1"/>
  <c r="N46" i="5"/>
  <c r="S47" i="5"/>
  <c r="T47" i="5" s="1"/>
  <c r="U47" i="5" s="1"/>
  <c r="O49" i="5"/>
  <c r="R63" i="5"/>
  <c r="P66" i="5"/>
  <c r="O66" i="5"/>
  <c r="N66" i="5"/>
  <c r="Q66" i="5"/>
  <c r="R66" i="5" s="1"/>
  <c r="S69" i="5"/>
  <c r="T69" i="5" s="1"/>
  <c r="U69" i="5" s="1"/>
  <c r="G69" i="5"/>
  <c r="M69" i="5"/>
  <c r="R71" i="5"/>
  <c r="P74" i="5"/>
  <c r="O74" i="5"/>
  <c r="N74" i="5"/>
  <c r="Q74" i="5"/>
  <c r="R74" i="5" s="1"/>
  <c r="S77" i="5"/>
  <c r="T77" i="5" s="1"/>
  <c r="U77" i="5" s="1"/>
  <c r="G77" i="5"/>
  <c r="M77" i="5"/>
  <c r="R79" i="5"/>
  <c r="M41" i="5"/>
  <c r="M43" i="5"/>
  <c r="M45" i="5"/>
  <c r="Q49" i="5"/>
  <c r="R49" i="5" s="1"/>
  <c r="R65" i="5"/>
  <c r="P68" i="5"/>
  <c r="O68" i="5"/>
  <c r="N68" i="5"/>
  <c r="Q68" i="5"/>
  <c r="R68" i="5" s="1"/>
  <c r="S71" i="5"/>
  <c r="T71" i="5" s="1"/>
  <c r="U71" i="5" s="1"/>
  <c r="G71" i="5"/>
  <c r="M71" i="5"/>
  <c r="P76" i="5"/>
  <c r="O76" i="5"/>
  <c r="N76" i="5"/>
  <c r="Q76" i="5"/>
  <c r="R76" i="5" s="1"/>
  <c r="S79" i="5"/>
  <c r="T79" i="5" s="1"/>
  <c r="U79" i="5" s="1"/>
  <c r="G79" i="5"/>
  <c r="M79" i="5"/>
  <c r="R81" i="5"/>
  <c r="S32" i="5"/>
  <c r="T32" i="5" s="1"/>
  <c r="U32" i="5" s="1"/>
  <c r="S34" i="5"/>
  <c r="T34" i="5" s="1"/>
  <c r="U34" i="5" s="1"/>
  <c r="Q52" i="5"/>
  <c r="R52" i="5" s="1"/>
  <c r="P52" i="5"/>
  <c r="Q56" i="5"/>
  <c r="R56" i="5" s="1"/>
  <c r="P56" i="5"/>
  <c r="S58" i="5"/>
  <c r="T58" i="5" s="1"/>
  <c r="U58" i="5" s="1"/>
  <c r="R61" i="5"/>
  <c r="P62" i="5"/>
  <c r="O62" i="5"/>
  <c r="N62" i="5"/>
  <c r="Q62" i="5"/>
  <c r="R62" i="5" s="1"/>
  <c r="M48" i="5"/>
  <c r="R48" i="5" s="1"/>
  <c r="G58" i="5"/>
  <c r="S65" i="5"/>
  <c r="T65" i="5" s="1"/>
  <c r="U65" i="5" s="1"/>
  <c r="G65" i="5"/>
  <c r="M65" i="5"/>
  <c r="P70" i="5"/>
  <c r="O70" i="5"/>
  <c r="N70" i="5"/>
  <c r="Q70" i="5"/>
  <c r="R70" i="5" s="1"/>
  <c r="S73" i="5"/>
  <c r="T73" i="5" s="1"/>
  <c r="U73" i="5" s="1"/>
  <c r="G73" i="5"/>
  <c r="M73" i="5"/>
  <c r="R73" i="5" s="1"/>
  <c r="R75" i="5"/>
  <c r="P78" i="5"/>
  <c r="O78" i="5"/>
  <c r="N78" i="5"/>
  <c r="Q78" i="5"/>
  <c r="R78" i="5" s="1"/>
  <c r="M81" i="5"/>
  <c r="S81" i="5"/>
  <c r="T81" i="5" s="1"/>
  <c r="U81" i="5" s="1"/>
  <c r="G81" i="5"/>
  <c r="Q58" i="5"/>
  <c r="P58" i="5"/>
  <c r="Q60" i="5"/>
  <c r="R60" i="5" s="1"/>
  <c r="P60" i="5"/>
  <c r="O60" i="5"/>
  <c r="N60" i="5"/>
  <c r="O48" i="5"/>
  <c r="O52" i="5"/>
  <c r="O56" i="5"/>
  <c r="M58" i="5"/>
  <c r="P64" i="5"/>
  <c r="O64" i="5"/>
  <c r="N64" i="5"/>
  <c r="Q64" i="5"/>
  <c r="R64" i="5" s="1"/>
  <c r="S67" i="5"/>
  <c r="T67" i="5" s="1"/>
  <c r="U67" i="5" s="1"/>
  <c r="G67" i="5"/>
  <c r="M67" i="5"/>
  <c r="R67" i="5" s="1"/>
  <c r="R69" i="5"/>
  <c r="P72" i="5"/>
  <c r="O72" i="5"/>
  <c r="N72" i="5"/>
  <c r="Q72" i="5"/>
  <c r="R72" i="5" s="1"/>
  <c r="S75" i="5"/>
  <c r="T75" i="5" s="1"/>
  <c r="U75" i="5" s="1"/>
  <c r="G75" i="5"/>
  <c r="M75" i="5"/>
  <c r="R77" i="5"/>
  <c r="P80" i="5"/>
  <c r="O80" i="5"/>
  <c r="N80" i="5"/>
  <c r="Q80" i="5"/>
  <c r="R80" i="5" s="1"/>
  <c r="P48" i="5"/>
  <c r="Q50" i="5"/>
  <c r="R50" i="5" s="1"/>
  <c r="P50" i="5"/>
  <c r="Q54" i="5"/>
  <c r="R54" i="5" s="1"/>
  <c r="P54" i="5"/>
  <c r="N58" i="5"/>
  <c r="N82" i="5"/>
  <c r="G60" i="5"/>
  <c r="S61" i="5"/>
  <c r="T61" i="5" s="1"/>
  <c r="U61" i="5" s="1"/>
  <c r="G82" i="5"/>
  <c r="O82" i="5"/>
  <c r="G62" i="5"/>
  <c r="G64" i="5"/>
  <c r="G66" i="5"/>
  <c r="G68" i="5"/>
  <c r="G70" i="5"/>
  <c r="G72" i="5"/>
  <c r="G74" i="5"/>
  <c r="G76" i="5"/>
  <c r="G78" i="5"/>
  <c r="G80" i="5"/>
  <c r="P82" i="5"/>
  <c r="G12" i="4"/>
  <c r="Q13" i="4"/>
  <c r="T13" i="4" s="1"/>
  <c r="G16" i="4"/>
  <c r="Q17" i="4"/>
  <c r="T17" i="4" s="1"/>
  <c r="G20" i="4"/>
  <c r="Q21" i="4"/>
  <c r="T21" i="4" s="1"/>
  <c r="G24" i="4"/>
  <c r="M25" i="4"/>
  <c r="T25" i="4" s="1"/>
  <c r="M27" i="4"/>
  <c r="T27" i="4" s="1"/>
  <c r="G31" i="4"/>
  <c r="G33" i="4"/>
  <c r="G35" i="4"/>
  <c r="Z35" i="4"/>
  <c r="O37" i="4"/>
  <c r="Q37" i="4"/>
  <c r="T37" i="4" s="1"/>
  <c r="U44" i="4"/>
  <c r="V44" i="4" s="1"/>
  <c r="F82" i="4"/>
  <c r="V11" i="4"/>
  <c r="W11" i="4" s="1"/>
  <c r="W12" i="4" s="1"/>
  <c r="N15" i="4"/>
  <c r="N19" i="4"/>
  <c r="N23" i="4"/>
  <c r="N25" i="4"/>
  <c r="N27" i="4"/>
  <c r="G29" i="4"/>
  <c r="Q31" i="4"/>
  <c r="T31" i="4" s="1"/>
  <c r="U34" i="4"/>
  <c r="V34" i="4" s="1"/>
  <c r="T35" i="4"/>
  <c r="N36" i="4"/>
  <c r="N45" i="4"/>
  <c r="P45" i="4"/>
  <c r="U47" i="4"/>
  <c r="V47" i="4" s="1"/>
  <c r="M14" i="4"/>
  <c r="T14" i="4" s="1"/>
  <c r="U14" i="4"/>
  <c r="V14" i="4" s="1"/>
  <c r="M18" i="4"/>
  <c r="T18" i="4" s="1"/>
  <c r="U18" i="4"/>
  <c r="V18" i="4" s="1"/>
  <c r="M22" i="4"/>
  <c r="T22" i="4" s="1"/>
  <c r="U22" i="4"/>
  <c r="V22" i="4" s="1"/>
  <c r="X11" i="4"/>
  <c r="U36" i="4"/>
  <c r="V36" i="4" s="1"/>
  <c r="M36" i="4"/>
  <c r="T36" i="4" s="1"/>
  <c r="G36" i="4"/>
  <c r="U39" i="4"/>
  <c r="V39" i="4" s="1"/>
  <c r="G42" i="4"/>
  <c r="G61" i="4"/>
  <c r="M61" i="4"/>
  <c r="U13" i="4"/>
  <c r="V13" i="4" s="1"/>
  <c r="G14" i="4"/>
  <c r="G18" i="4"/>
  <c r="G22" i="4"/>
  <c r="U24" i="4"/>
  <c r="V24" i="4" s="1"/>
  <c r="N28" i="4"/>
  <c r="U30" i="4"/>
  <c r="V30" i="4" s="1"/>
  <c r="M30" i="4"/>
  <c r="T30" i="4" s="1"/>
  <c r="O30" i="4"/>
  <c r="G34" i="4"/>
  <c r="G37" i="4"/>
  <c r="M39" i="4"/>
  <c r="T39" i="4" s="1"/>
  <c r="G41" i="4"/>
  <c r="T43" i="4"/>
  <c r="T46" i="4"/>
  <c r="G56" i="4"/>
  <c r="M56" i="4"/>
  <c r="U56" i="4"/>
  <c r="V56" i="4" s="1"/>
  <c r="Q69" i="4"/>
  <c r="T69" i="4" s="1"/>
  <c r="P69" i="4"/>
  <c r="O69" i="4"/>
  <c r="N69" i="4"/>
  <c r="J5" i="4"/>
  <c r="N13" i="4"/>
  <c r="N17" i="4"/>
  <c r="N85" i="4" s="1"/>
  <c r="N21" i="4"/>
  <c r="O28" i="4"/>
  <c r="G30" i="4"/>
  <c r="P30" i="4"/>
  <c r="U31" i="4"/>
  <c r="V31" i="4" s="1"/>
  <c r="G32" i="4"/>
  <c r="M33" i="4"/>
  <c r="T33" i="4" s="1"/>
  <c r="U42" i="4"/>
  <c r="V42" i="4" s="1"/>
  <c r="T44" i="4"/>
  <c r="G46" i="4"/>
  <c r="G50" i="4"/>
  <c r="Q57" i="4"/>
  <c r="P57" i="4"/>
  <c r="O57" i="4"/>
  <c r="O13" i="4"/>
  <c r="O17" i="4"/>
  <c r="O21" i="4"/>
  <c r="U26" i="4"/>
  <c r="V26" i="4" s="1"/>
  <c r="M26" i="4"/>
  <c r="T26" i="4" s="1"/>
  <c r="P28" i="4"/>
  <c r="P85" i="4" s="1"/>
  <c r="T34" i="4"/>
  <c r="T47" i="4"/>
  <c r="T49" i="4"/>
  <c r="G26" i="4"/>
  <c r="U27" i="4"/>
  <c r="V27" i="4" s="1"/>
  <c r="N41" i="4"/>
  <c r="P41" i="4"/>
  <c r="M42" i="4"/>
  <c r="T42" i="4" s="1"/>
  <c r="U48" i="4"/>
  <c r="V48" i="4" s="1"/>
  <c r="G48" i="4"/>
  <c r="U61" i="4"/>
  <c r="V61" i="4" s="1"/>
  <c r="N48" i="4"/>
  <c r="T50" i="4"/>
  <c r="N52" i="4"/>
  <c r="M57" i="4"/>
  <c r="Z63" i="4"/>
  <c r="T70" i="4"/>
  <c r="G74" i="4"/>
  <c r="T80" i="4"/>
  <c r="O59" i="4"/>
  <c r="N59" i="4"/>
  <c r="Q61" i="4"/>
  <c r="T61" i="4" s="1"/>
  <c r="P61" i="4"/>
  <c r="O61" i="4"/>
  <c r="Q65" i="4"/>
  <c r="T65" i="4" s="1"/>
  <c r="P65" i="4"/>
  <c r="O65" i="4"/>
  <c r="N65" i="4"/>
  <c r="Q56" i="4"/>
  <c r="T56" i="4" s="1"/>
  <c r="P56" i="4"/>
  <c r="O56" i="4"/>
  <c r="P59" i="4"/>
  <c r="T62" i="4"/>
  <c r="T66" i="4"/>
  <c r="U58" i="4"/>
  <c r="V58" i="4" s="1"/>
  <c r="M58" i="4"/>
  <c r="T58" i="4" s="1"/>
  <c r="Q59" i="4"/>
  <c r="T59" i="4" s="1"/>
  <c r="N61" i="4"/>
  <c r="G62" i="4"/>
  <c r="O55" i="4"/>
  <c r="N55" i="4"/>
  <c r="G57" i="4"/>
  <c r="P51" i="4"/>
  <c r="N51" i="4"/>
  <c r="U52" i="4"/>
  <c r="V52" i="4" s="1"/>
  <c r="P55" i="4"/>
  <c r="Q60" i="4"/>
  <c r="T60" i="4" s="1"/>
  <c r="P60" i="4"/>
  <c r="O60" i="4"/>
  <c r="N60" i="4"/>
  <c r="T75" i="4"/>
  <c r="U78" i="4"/>
  <c r="V78" i="4" s="1"/>
  <c r="P66" i="4"/>
  <c r="P70" i="4"/>
  <c r="N73" i="4"/>
  <c r="P74" i="4"/>
  <c r="N77" i="4"/>
  <c r="P78" i="4"/>
  <c r="N81" i="4"/>
  <c r="M55" i="4"/>
  <c r="T55" i="4" s="1"/>
  <c r="U55" i="4"/>
  <c r="V55" i="4" s="1"/>
  <c r="M59" i="4"/>
  <c r="U59" i="4"/>
  <c r="V59" i="4" s="1"/>
  <c r="G60" i="4"/>
  <c r="M64" i="4"/>
  <c r="T64" i="4" s="1"/>
  <c r="U64" i="4"/>
  <c r="V64" i="4" s="1"/>
  <c r="G65" i="4"/>
  <c r="M68" i="4"/>
  <c r="T68" i="4" s="1"/>
  <c r="U68" i="4"/>
  <c r="V68" i="4" s="1"/>
  <c r="G69" i="4"/>
  <c r="M72" i="4"/>
  <c r="T72" i="4" s="1"/>
  <c r="U72" i="4"/>
  <c r="V72" i="4" s="1"/>
  <c r="G73" i="4"/>
  <c r="O73" i="4"/>
  <c r="M76" i="4"/>
  <c r="T76" i="4" s="1"/>
  <c r="U76" i="4"/>
  <c r="V76" i="4" s="1"/>
  <c r="G77" i="4"/>
  <c r="O77" i="4"/>
  <c r="M80" i="4"/>
  <c r="U80" i="4"/>
  <c r="V80" i="4" s="1"/>
  <c r="G81" i="4"/>
  <c r="O81" i="4"/>
  <c r="N64" i="4"/>
  <c r="N68" i="4"/>
  <c r="N72" i="4"/>
  <c r="P73" i="4"/>
  <c r="N76" i="4"/>
  <c r="P77" i="4"/>
  <c r="N80" i="4"/>
  <c r="P81" i="4"/>
  <c r="M67" i="4"/>
  <c r="T67" i="4" s="1"/>
  <c r="M71" i="4"/>
  <c r="T71" i="4" s="1"/>
  <c r="M75" i="4"/>
  <c r="M79" i="4"/>
  <c r="T79" i="4" s="1"/>
  <c r="O80" i="4"/>
  <c r="V12" i="3"/>
  <c r="V13" i="3" s="1"/>
  <c r="V14" i="3" s="1"/>
  <c r="X12" i="3"/>
  <c r="AB12" i="3" s="1"/>
  <c r="O15" i="3"/>
  <c r="S31" i="3"/>
  <c r="R31" i="3"/>
  <c r="Q31" i="3"/>
  <c r="O17" i="3"/>
  <c r="O19" i="3"/>
  <c r="P21" i="3"/>
  <c r="S33" i="3"/>
  <c r="R33" i="3"/>
  <c r="Q33" i="3"/>
  <c r="P33" i="3"/>
  <c r="T49" i="3"/>
  <c r="U49" i="3" s="1"/>
  <c r="S70" i="3"/>
  <c r="R70" i="3"/>
  <c r="Q70" i="3"/>
  <c r="P70" i="3"/>
  <c r="P13" i="3"/>
  <c r="P15" i="3"/>
  <c r="R28" i="3"/>
  <c r="P28" i="3"/>
  <c r="I39" i="3"/>
  <c r="S65" i="3"/>
  <c r="Q65" i="3"/>
  <c r="P65" i="3"/>
  <c r="R65" i="3"/>
  <c r="I13" i="3"/>
  <c r="W13" i="3" s="1"/>
  <c r="Q13" i="3"/>
  <c r="I15" i="3"/>
  <c r="Q15" i="3"/>
  <c r="P17" i="3"/>
  <c r="P19" i="3"/>
  <c r="Q21" i="3"/>
  <c r="P25" i="3"/>
  <c r="Q28" i="3"/>
  <c r="P31" i="3"/>
  <c r="I37" i="3"/>
  <c r="T45" i="3"/>
  <c r="U45" i="3" s="1"/>
  <c r="I45" i="3"/>
  <c r="S47" i="3"/>
  <c r="R47" i="3"/>
  <c r="Q47" i="3"/>
  <c r="P47" i="3"/>
  <c r="S43" i="3"/>
  <c r="R43" i="3"/>
  <c r="Q43" i="3"/>
  <c r="P43" i="3"/>
  <c r="T21" i="3"/>
  <c r="U21" i="3" s="1"/>
  <c r="R13" i="3"/>
  <c r="R15" i="3"/>
  <c r="I17" i="3"/>
  <c r="Q17" i="3"/>
  <c r="I19" i="3"/>
  <c r="Q19" i="3"/>
  <c r="I21" i="3"/>
  <c r="R21" i="3"/>
  <c r="Q25" i="3"/>
  <c r="S28" i="3"/>
  <c r="I29" i="3"/>
  <c r="S41" i="3"/>
  <c r="R41" i="3"/>
  <c r="Q41" i="3"/>
  <c r="P41" i="3"/>
  <c r="G89" i="3"/>
  <c r="O12" i="3"/>
  <c r="R17" i="3"/>
  <c r="R19" i="3"/>
  <c r="P22" i="3"/>
  <c r="I25" i="3"/>
  <c r="R25" i="3"/>
  <c r="Q26" i="3"/>
  <c r="T28" i="3"/>
  <c r="U28" i="3" s="1"/>
  <c r="I35" i="3"/>
  <c r="S39" i="3"/>
  <c r="R39" i="3"/>
  <c r="Q39" i="3"/>
  <c r="P39" i="3"/>
  <c r="S45" i="3"/>
  <c r="R45" i="3"/>
  <c r="Q45" i="3"/>
  <c r="P45" i="3"/>
  <c r="S49" i="3"/>
  <c r="R49" i="3"/>
  <c r="Q49" i="3"/>
  <c r="P49" i="3"/>
  <c r="O13" i="3"/>
  <c r="I41" i="3"/>
  <c r="Y21" i="3"/>
  <c r="P14" i="3"/>
  <c r="T15" i="3"/>
  <c r="U15" i="3" s="1"/>
  <c r="U89" i="3" s="1"/>
  <c r="P16" i="3"/>
  <c r="Q22" i="3"/>
  <c r="R26" i="3"/>
  <c r="I31" i="3"/>
  <c r="S37" i="3"/>
  <c r="R37" i="3"/>
  <c r="Q37" i="3"/>
  <c r="P37" i="3"/>
  <c r="O39" i="3"/>
  <c r="T41" i="3"/>
  <c r="U41" i="3" s="1"/>
  <c r="O45" i="3"/>
  <c r="R51" i="3"/>
  <c r="S51" i="3"/>
  <c r="Q51" i="3"/>
  <c r="P51" i="3"/>
  <c r="I26" i="3"/>
  <c r="S26" i="3"/>
  <c r="I33" i="3"/>
  <c r="O37" i="3"/>
  <c r="T39" i="3"/>
  <c r="U39" i="3" s="1"/>
  <c r="T43" i="3"/>
  <c r="U43" i="3" s="1"/>
  <c r="I43" i="3"/>
  <c r="Q23" i="3"/>
  <c r="O29" i="3"/>
  <c r="S35" i="3"/>
  <c r="R35" i="3"/>
  <c r="Q35" i="3"/>
  <c r="P35" i="3"/>
  <c r="T37" i="3"/>
  <c r="U37" i="3" s="1"/>
  <c r="S57" i="3"/>
  <c r="Q57" i="3"/>
  <c r="R57" i="3"/>
  <c r="T60" i="3"/>
  <c r="U60" i="3" s="1"/>
  <c r="I60" i="3"/>
  <c r="S63" i="3"/>
  <c r="Q63" i="3"/>
  <c r="P63" i="3"/>
  <c r="T76" i="3"/>
  <c r="U76" i="3" s="1"/>
  <c r="I76" i="3"/>
  <c r="S78" i="3"/>
  <c r="R78" i="3"/>
  <c r="Q78" i="3"/>
  <c r="S84" i="3"/>
  <c r="R84" i="3"/>
  <c r="Q84" i="3"/>
  <c r="O47" i="3"/>
  <c r="O49" i="3"/>
  <c r="Y51" i="3"/>
  <c r="S61" i="3"/>
  <c r="Q61" i="3"/>
  <c r="P61" i="3"/>
  <c r="R63" i="3"/>
  <c r="T65" i="3"/>
  <c r="U65" i="3" s="1"/>
  <c r="T68" i="3"/>
  <c r="U68" i="3" s="1"/>
  <c r="T82" i="3"/>
  <c r="U82" i="3" s="1"/>
  <c r="I82" i="3"/>
  <c r="S59" i="3"/>
  <c r="Q59" i="3"/>
  <c r="P59" i="3"/>
  <c r="T74" i="3"/>
  <c r="U74" i="3" s="1"/>
  <c r="I74" i="3"/>
  <c r="S76" i="3"/>
  <c r="R76" i="3"/>
  <c r="Q76" i="3"/>
  <c r="P84" i="3"/>
  <c r="T86" i="3"/>
  <c r="U86" i="3" s="1"/>
  <c r="I86" i="3"/>
  <c r="I47" i="3"/>
  <c r="I49" i="3"/>
  <c r="I51" i="3"/>
  <c r="P52" i="3"/>
  <c r="S55" i="3"/>
  <c r="Q55" i="3"/>
  <c r="Q56" i="3"/>
  <c r="R59" i="3"/>
  <c r="I63" i="3"/>
  <c r="P64" i="3"/>
  <c r="I68" i="3"/>
  <c r="O76" i="3"/>
  <c r="S82" i="3"/>
  <c r="R82" i="3"/>
  <c r="Q82" i="3"/>
  <c r="P30" i="3"/>
  <c r="T51" i="3"/>
  <c r="U51" i="3" s="1"/>
  <c r="Q52" i="3"/>
  <c r="R56" i="3"/>
  <c r="Q64" i="3"/>
  <c r="Y68" i="3"/>
  <c r="I70" i="3"/>
  <c r="T72" i="3"/>
  <c r="U72" i="3" s="1"/>
  <c r="I72" i="3"/>
  <c r="S74" i="3"/>
  <c r="R74" i="3"/>
  <c r="Q74" i="3"/>
  <c r="P76" i="3"/>
  <c r="T80" i="3"/>
  <c r="U80" i="3" s="1"/>
  <c r="I80" i="3"/>
  <c r="T88" i="3"/>
  <c r="U88" i="3" s="1"/>
  <c r="I88" i="3"/>
  <c r="I52" i="3"/>
  <c r="R52" i="3"/>
  <c r="I53" i="3"/>
  <c r="P53" i="3"/>
  <c r="P54" i="3"/>
  <c r="P55" i="3"/>
  <c r="T56" i="3"/>
  <c r="U56" i="3" s="1"/>
  <c r="P58" i="3"/>
  <c r="I59" i="3"/>
  <c r="P60" i="3"/>
  <c r="Q62" i="3"/>
  <c r="R64" i="3"/>
  <c r="O74" i="3"/>
  <c r="P82" i="3"/>
  <c r="O86" i="3"/>
  <c r="R53" i="3"/>
  <c r="I55" i="3"/>
  <c r="R55" i="3"/>
  <c r="Q58" i="3"/>
  <c r="Q60" i="3"/>
  <c r="R62" i="3"/>
  <c r="T66" i="3"/>
  <c r="U66" i="3" s="1"/>
  <c r="O68" i="3"/>
  <c r="S72" i="3"/>
  <c r="R72" i="3"/>
  <c r="Q72" i="3"/>
  <c r="P74" i="3"/>
  <c r="T78" i="3"/>
  <c r="U78" i="3" s="1"/>
  <c r="I78" i="3"/>
  <c r="S80" i="3"/>
  <c r="R80" i="3"/>
  <c r="Q80" i="3"/>
  <c r="T84" i="3"/>
  <c r="U84" i="3" s="1"/>
  <c r="I84" i="3"/>
  <c r="O57" i="3"/>
  <c r="O59" i="3"/>
  <c r="O61" i="3"/>
  <c r="O63" i="3"/>
  <c r="R66" i="3"/>
  <c r="R68" i="3"/>
  <c r="Q86" i="3"/>
  <c r="Q88" i="3"/>
  <c r="T62" i="3"/>
  <c r="U62" i="3" s="1"/>
  <c r="T64" i="3"/>
  <c r="U64" i="3" s="1"/>
  <c r="R86" i="3"/>
  <c r="R88" i="3"/>
  <c r="O81" i="3"/>
  <c r="O83" i="3"/>
  <c r="O85" i="3"/>
  <c r="O87" i="3"/>
  <c r="U12" i="2"/>
  <c r="R25" i="2"/>
  <c r="S25" i="2" s="1"/>
  <c r="G25" i="2"/>
  <c r="Q68" i="2"/>
  <c r="AA68" i="2"/>
  <c r="P68" i="2"/>
  <c r="O68" i="2"/>
  <c r="N68" i="2"/>
  <c r="AA12" i="2"/>
  <c r="G14" i="2"/>
  <c r="G91" i="2" s="1"/>
  <c r="M26" i="2"/>
  <c r="AB26" i="2" s="1"/>
  <c r="R26" i="2"/>
  <c r="S26" i="2" s="1"/>
  <c r="G26" i="2"/>
  <c r="N28" i="2"/>
  <c r="Q45" i="2"/>
  <c r="AA45" i="2"/>
  <c r="P45" i="2"/>
  <c r="O45" i="2"/>
  <c r="N45" i="2"/>
  <c r="R23" i="2"/>
  <c r="S23" i="2" s="1"/>
  <c r="Q22" i="2"/>
  <c r="AA22" i="2"/>
  <c r="P22" i="2"/>
  <c r="O22" i="2"/>
  <c r="N22" i="2"/>
  <c r="M25" i="2"/>
  <c r="AB25" i="2" s="1"/>
  <c r="R48" i="2"/>
  <c r="S48" i="2" s="1"/>
  <c r="G48" i="2"/>
  <c r="M48" i="2"/>
  <c r="AB48" i="2" s="1"/>
  <c r="Q14" i="2"/>
  <c r="AA14" i="2"/>
  <c r="P14" i="2"/>
  <c r="O14" i="2"/>
  <c r="R15" i="2"/>
  <c r="S15" i="2" s="1"/>
  <c r="R20" i="2"/>
  <c r="S20" i="2" s="1"/>
  <c r="M20" i="2"/>
  <c r="AB20" i="2" s="1"/>
  <c r="R31" i="2"/>
  <c r="S31" i="2" s="1"/>
  <c r="O73" i="2"/>
  <c r="N73" i="2"/>
  <c r="AA73" i="2"/>
  <c r="Q73" i="2"/>
  <c r="P73" i="2"/>
  <c r="M110" i="2"/>
  <c r="C7" i="2" s="1"/>
  <c r="D7" i="2" s="1"/>
  <c r="J6" i="2"/>
  <c r="R17" i="2"/>
  <c r="S17" i="2" s="1"/>
  <c r="G17" i="2"/>
  <c r="AA19" i="2"/>
  <c r="P19" i="2"/>
  <c r="O19" i="2"/>
  <c r="N19" i="2"/>
  <c r="Q50" i="2"/>
  <c r="AA50" i="2"/>
  <c r="P50" i="2"/>
  <c r="O50" i="2"/>
  <c r="N50" i="2"/>
  <c r="F89" i="2"/>
  <c r="R12" i="2"/>
  <c r="M12" i="2"/>
  <c r="O12" i="2"/>
  <c r="P12" i="2"/>
  <c r="N14" i="2"/>
  <c r="P20" i="2"/>
  <c r="Q20" i="2"/>
  <c r="AA20" i="2"/>
  <c r="Q30" i="2"/>
  <c r="AA30" i="2"/>
  <c r="P30" i="2"/>
  <c r="O30" i="2"/>
  <c r="N30" i="2"/>
  <c r="Q87" i="2"/>
  <c r="AA87" i="2"/>
  <c r="P87" i="2"/>
  <c r="O87" i="2"/>
  <c r="N87" i="2"/>
  <c r="AA27" i="2"/>
  <c r="P27" i="2"/>
  <c r="O27" i="2"/>
  <c r="N27" i="2"/>
  <c r="P28" i="2"/>
  <c r="Q28" i="2"/>
  <c r="AA28" i="2"/>
  <c r="N12" i="2"/>
  <c r="M14" i="2"/>
  <c r="AB14" i="2" s="1"/>
  <c r="R14" i="2"/>
  <c r="S14" i="2" s="1"/>
  <c r="M18" i="2"/>
  <c r="AB18" i="2" s="1"/>
  <c r="R18" i="2"/>
  <c r="S18" i="2" s="1"/>
  <c r="G18" i="2"/>
  <c r="Q19" i="2"/>
  <c r="N20" i="2"/>
  <c r="R28" i="2"/>
  <c r="S28" i="2" s="1"/>
  <c r="M28" i="2"/>
  <c r="AB28" i="2" s="1"/>
  <c r="Q36" i="2"/>
  <c r="AA36" i="2"/>
  <c r="P36" i="2"/>
  <c r="O36" i="2"/>
  <c r="M37" i="2"/>
  <c r="AB37" i="2" s="1"/>
  <c r="R37" i="2"/>
  <c r="S37" i="2" s="1"/>
  <c r="Q42" i="2"/>
  <c r="AA42" i="2"/>
  <c r="P42" i="2"/>
  <c r="O42" i="2"/>
  <c r="M51" i="2"/>
  <c r="AB51" i="2" s="1"/>
  <c r="R51" i="2"/>
  <c r="S51" i="2" s="1"/>
  <c r="P13" i="2"/>
  <c r="Q16" i="2"/>
  <c r="R19" i="2"/>
  <c r="S19" i="2" s="1"/>
  <c r="P21" i="2"/>
  <c r="Q24" i="2"/>
  <c r="R27" i="2"/>
  <c r="S27" i="2" s="1"/>
  <c r="P29" i="2"/>
  <c r="N33" i="2"/>
  <c r="R34" i="2"/>
  <c r="S34" i="2" s="1"/>
  <c r="M36" i="2"/>
  <c r="AB36" i="2" s="1"/>
  <c r="G37" i="2"/>
  <c r="N42" i="2"/>
  <c r="G51" i="2"/>
  <c r="N36" i="2"/>
  <c r="R55" i="2"/>
  <c r="S55" i="2" s="1"/>
  <c r="M55" i="2"/>
  <c r="AB55" i="2" s="1"/>
  <c r="G55" i="2"/>
  <c r="G32" i="2"/>
  <c r="W33" i="2"/>
  <c r="R33" i="2"/>
  <c r="S33" i="2" s="1"/>
  <c r="G33" i="2"/>
  <c r="P17" i="2"/>
  <c r="AA17" i="2"/>
  <c r="G22" i="2"/>
  <c r="P25" i="2"/>
  <c r="AA25" i="2"/>
  <c r="G30" i="2"/>
  <c r="P59" i="2"/>
  <c r="O59" i="2"/>
  <c r="N59" i="2"/>
  <c r="AA59" i="2"/>
  <c r="Q59" i="2"/>
  <c r="R39" i="2"/>
  <c r="S39" i="2" s="1"/>
  <c r="G39" i="2"/>
  <c r="N16" i="2"/>
  <c r="N24" i="2"/>
  <c r="R32" i="2"/>
  <c r="S32" i="2" s="1"/>
  <c r="R36" i="2"/>
  <c r="S36" i="2" s="1"/>
  <c r="G36" i="2"/>
  <c r="Q39" i="2"/>
  <c r="AA39" i="2"/>
  <c r="P39" i="2"/>
  <c r="O39" i="2"/>
  <c r="M40" i="2"/>
  <c r="AB40" i="2" s="1"/>
  <c r="R40" i="2"/>
  <c r="S40" i="2" s="1"/>
  <c r="R42" i="2"/>
  <c r="S42" i="2" s="1"/>
  <c r="G42" i="2"/>
  <c r="M42" i="2"/>
  <c r="AB42" i="2" s="1"/>
  <c r="M43" i="2"/>
  <c r="AB43" i="2" s="1"/>
  <c r="R43" i="2"/>
  <c r="S43" i="2" s="1"/>
  <c r="Q54" i="2"/>
  <c r="AA54" i="2"/>
  <c r="P54" i="2"/>
  <c r="O54" i="2"/>
  <c r="N54" i="2"/>
  <c r="P33" i="2"/>
  <c r="O33" i="2"/>
  <c r="AA33" i="2"/>
  <c r="M39" i="2"/>
  <c r="AB39" i="2" s="1"/>
  <c r="P41" i="2"/>
  <c r="O41" i="2"/>
  <c r="N41" i="2"/>
  <c r="R69" i="2"/>
  <c r="S69" i="2" s="1"/>
  <c r="M69" i="2"/>
  <c r="AB69" i="2" s="1"/>
  <c r="G69" i="2"/>
  <c r="Q85" i="2"/>
  <c r="AA85" i="2"/>
  <c r="P85" i="2"/>
  <c r="O85" i="2"/>
  <c r="N85" i="2"/>
  <c r="Q57" i="2"/>
  <c r="AA57" i="2"/>
  <c r="P57" i="2"/>
  <c r="R60" i="2"/>
  <c r="S60" i="2" s="1"/>
  <c r="G65" i="2"/>
  <c r="AA71" i="2"/>
  <c r="Q71" i="2"/>
  <c r="P71" i="2"/>
  <c r="R74" i="2"/>
  <c r="S74" i="2" s="1"/>
  <c r="G79" i="2"/>
  <c r="G45" i="2"/>
  <c r="AA52" i="2"/>
  <c r="O53" i="2"/>
  <c r="N53" i="2"/>
  <c r="R59" i="2"/>
  <c r="S59" i="2" s="1"/>
  <c r="G60" i="2"/>
  <c r="AA62" i="2"/>
  <c r="P62" i="2"/>
  <c r="O62" i="2"/>
  <c r="N62" i="2"/>
  <c r="O67" i="2"/>
  <c r="N67" i="2"/>
  <c r="AA76" i="2"/>
  <c r="P76" i="2"/>
  <c r="O76" i="2"/>
  <c r="N76" i="2"/>
  <c r="R82" i="2"/>
  <c r="S82" i="2" s="1"/>
  <c r="G82" i="2"/>
  <c r="M41" i="2"/>
  <c r="AB41" i="2" s="1"/>
  <c r="M44" i="2"/>
  <c r="AB44" i="2" s="1"/>
  <c r="N47" i="2"/>
  <c r="G50" i="2"/>
  <c r="N52" i="2"/>
  <c r="P53" i="2"/>
  <c r="N57" i="2"/>
  <c r="M58" i="2"/>
  <c r="AB58" i="2" s="1"/>
  <c r="W59" i="2"/>
  <c r="R63" i="2"/>
  <c r="S63" i="2" s="1"/>
  <c r="P67" i="2"/>
  <c r="N71" i="2"/>
  <c r="R72" i="2"/>
  <c r="S72" i="2" s="1"/>
  <c r="R77" i="2"/>
  <c r="S77" i="2" s="1"/>
  <c r="M35" i="2"/>
  <c r="AB35" i="2" s="1"/>
  <c r="N44" i="2"/>
  <c r="O47" i="2"/>
  <c r="O52" i="2"/>
  <c r="Q53" i="2"/>
  <c r="G54" i="2"/>
  <c r="O57" i="2"/>
  <c r="Q60" i="2"/>
  <c r="AA60" i="2"/>
  <c r="P60" i="2"/>
  <c r="Q62" i="2"/>
  <c r="Q65" i="2"/>
  <c r="AA65" i="2"/>
  <c r="P65" i="2"/>
  <c r="O65" i="2"/>
  <c r="Q67" i="2"/>
  <c r="G68" i="2"/>
  <c r="O71" i="2"/>
  <c r="Q74" i="2"/>
  <c r="AA74" i="2"/>
  <c r="P74" i="2"/>
  <c r="Q76" i="2"/>
  <c r="Q79" i="2"/>
  <c r="AA79" i="2"/>
  <c r="P79" i="2"/>
  <c r="O79" i="2"/>
  <c r="Q82" i="2"/>
  <c r="AA82" i="2"/>
  <c r="P82" i="2"/>
  <c r="O82" i="2"/>
  <c r="M83" i="2"/>
  <c r="AB83" i="2" s="1"/>
  <c r="R83" i="2"/>
  <c r="S83" i="2" s="1"/>
  <c r="N38" i="2"/>
  <c r="G41" i="2"/>
  <c r="G44" i="2"/>
  <c r="O44" i="2"/>
  <c r="P47" i="2"/>
  <c r="AA47" i="2"/>
  <c r="G52" i="2"/>
  <c r="P52" i="2"/>
  <c r="O56" i="2"/>
  <c r="N56" i="2"/>
  <c r="R58" i="2"/>
  <c r="S58" i="2" s="1"/>
  <c r="M60" i="2"/>
  <c r="AB60" i="2" s="1"/>
  <c r="M65" i="2"/>
  <c r="AB65" i="2" s="1"/>
  <c r="R66" i="2"/>
  <c r="S66" i="2" s="1"/>
  <c r="O70" i="2"/>
  <c r="N70" i="2"/>
  <c r="M74" i="2"/>
  <c r="AB74" i="2" s="1"/>
  <c r="M79" i="2"/>
  <c r="AB79" i="2" s="1"/>
  <c r="R80" i="2"/>
  <c r="S80" i="2" s="1"/>
  <c r="M82" i="2"/>
  <c r="AB82" i="2" s="1"/>
  <c r="G83" i="2"/>
  <c r="R85" i="2"/>
  <c r="S85" i="2" s="1"/>
  <c r="R88" i="2"/>
  <c r="S88" i="2" s="1"/>
  <c r="M88" i="2"/>
  <c r="AB88" i="2" s="1"/>
  <c r="P44" i="2"/>
  <c r="R57" i="2"/>
  <c r="S57" i="2" s="1"/>
  <c r="N65" i="2"/>
  <c r="R71" i="2"/>
  <c r="S71" i="2" s="1"/>
  <c r="N74" i="2"/>
  <c r="N79" i="2"/>
  <c r="G80" i="2"/>
  <c r="N82" i="2"/>
  <c r="AA84" i="2"/>
  <c r="P84" i="2"/>
  <c r="O84" i="2"/>
  <c r="N84" i="2"/>
  <c r="G85" i="2"/>
  <c r="G88" i="2"/>
  <c r="M84" i="2"/>
  <c r="AB84" i="2" s="1"/>
  <c r="M53" i="2"/>
  <c r="AB53" i="2" s="1"/>
  <c r="M56" i="2"/>
  <c r="AB56" i="2" s="1"/>
  <c r="M67" i="2"/>
  <c r="AB67" i="2" s="1"/>
  <c r="M70" i="2"/>
  <c r="AB70" i="2" s="1"/>
  <c r="M73" i="2"/>
  <c r="AB73" i="2" s="1"/>
  <c r="G87" i="2"/>
  <c r="G62" i="2"/>
  <c r="G76" i="2"/>
  <c r="N81" i="2"/>
  <c r="G84" i="2"/>
  <c r="R46" i="7" l="1"/>
  <c r="W13" i="7"/>
  <c r="AB13" i="7" s="1"/>
  <c r="V14" i="7"/>
  <c r="G83" i="7"/>
  <c r="S81" i="7"/>
  <c r="T12" i="7"/>
  <c r="U12" i="7" s="1"/>
  <c r="Q87" i="7"/>
  <c r="I34" i="7"/>
  <c r="J34" i="7" s="1"/>
  <c r="R14" i="7"/>
  <c r="R81" i="7" s="1"/>
  <c r="N87" i="7"/>
  <c r="I20" i="7"/>
  <c r="J20" i="7" s="1"/>
  <c r="P84" i="7"/>
  <c r="P85" i="7" s="1"/>
  <c r="P86" i="7" s="1"/>
  <c r="Q84" i="7"/>
  <c r="Q85" i="7" s="1"/>
  <c r="Q86" i="7" s="1"/>
  <c r="R49" i="7"/>
  <c r="V14" i="6"/>
  <c r="W13" i="6"/>
  <c r="Z13" i="6" s="1"/>
  <c r="I76" i="6"/>
  <c r="J76" i="6" s="1"/>
  <c r="O82" i="6"/>
  <c r="O85" i="6" s="1"/>
  <c r="O86" i="6" s="1"/>
  <c r="I32" i="6"/>
  <c r="J32" i="6" s="1"/>
  <c r="S81" i="6"/>
  <c r="S82" i="6" s="1"/>
  <c r="I68" i="6"/>
  <c r="J68" i="6" s="1"/>
  <c r="G83" i="6"/>
  <c r="I30" i="6"/>
  <c r="J30" i="6" s="1"/>
  <c r="I33" i="6"/>
  <c r="J33" i="6" s="1"/>
  <c r="I22" i="6"/>
  <c r="J22" i="6" s="1"/>
  <c r="I19" i="6"/>
  <c r="J19" i="6" s="1"/>
  <c r="I31" i="6"/>
  <c r="J31" i="6" s="1"/>
  <c r="I67" i="6"/>
  <c r="J67" i="6" s="1"/>
  <c r="R67" i="6"/>
  <c r="I28" i="6"/>
  <c r="J28" i="6" s="1"/>
  <c r="U22" i="6"/>
  <c r="U23" i="6" s="1"/>
  <c r="U24" i="6" s="1"/>
  <c r="U25" i="6" s="1"/>
  <c r="U26" i="6" s="1"/>
  <c r="U27" i="6" s="1"/>
  <c r="U28" i="6" s="1"/>
  <c r="U29" i="6" s="1"/>
  <c r="U30" i="6" s="1"/>
  <c r="U31" i="6" s="1"/>
  <c r="U32" i="6" s="1"/>
  <c r="U33" i="6" s="1"/>
  <c r="U34" i="6" s="1"/>
  <c r="U35" i="6" s="1"/>
  <c r="U36" i="6" s="1"/>
  <c r="U37" i="6" s="1"/>
  <c r="U38" i="6" s="1"/>
  <c r="U39" i="6" s="1"/>
  <c r="U40" i="6" s="1"/>
  <c r="U41" i="6" s="1"/>
  <c r="U42" i="6" s="1"/>
  <c r="U43" i="6" s="1"/>
  <c r="U44" i="6" s="1"/>
  <c r="U45" i="6" s="1"/>
  <c r="U46" i="6" s="1"/>
  <c r="U47" i="6" s="1"/>
  <c r="U48" i="6" s="1"/>
  <c r="U49" i="6" s="1"/>
  <c r="U50" i="6" s="1"/>
  <c r="U51" i="6" s="1"/>
  <c r="U52" i="6" s="1"/>
  <c r="U53" i="6" s="1"/>
  <c r="U54" i="6" s="1"/>
  <c r="U55" i="6" s="1"/>
  <c r="U56" i="6" s="1"/>
  <c r="U57" i="6" s="1"/>
  <c r="U58" i="6" s="1"/>
  <c r="U59" i="6" s="1"/>
  <c r="U60" i="6" s="1"/>
  <c r="U61" i="6" s="1"/>
  <c r="U62" i="6" s="1"/>
  <c r="U63" i="6" s="1"/>
  <c r="U64" i="6" s="1"/>
  <c r="U65" i="6" s="1"/>
  <c r="U66" i="6" s="1"/>
  <c r="U67" i="6" s="1"/>
  <c r="U68" i="6" s="1"/>
  <c r="U69" i="6" s="1"/>
  <c r="U70" i="6" s="1"/>
  <c r="U71" i="6" s="1"/>
  <c r="U72" i="6" s="1"/>
  <c r="U73" i="6" s="1"/>
  <c r="U74" i="6" s="1"/>
  <c r="U75" i="6" s="1"/>
  <c r="U76" i="6" s="1"/>
  <c r="U77" i="6" s="1"/>
  <c r="U78" i="6" s="1"/>
  <c r="U79" i="6" s="1"/>
  <c r="U80" i="6" s="1"/>
  <c r="I17" i="6"/>
  <c r="J17" i="6" s="1"/>
  <c r="I79" i="6"/>
  <c r="J79" i="6" s="1"/>
  <c r="P82" i="6"/>
  <c r="P85" i="6" s="1"/>
  <c r="P86" i="6" s="1"/>
  <c r="I65" i="6"/>
  <c r="J65" i="6" s="1"/>
  <c r="I25" i="6"/>
  <c r="J25" i="6" s="1"/>
  <c r="M81" i="6"/>
  <c r="I21" i="6"/>
  <c r="J21" i="6" s="1"/>
  <c r="R81" i="6"/>
  <c r="R74" i="6"/>
  <c r="I43" i="6"/>
  <c r="J43" i="6" s="1"/>
  <c r="N82" i="6"/>
  <c r="N85" i="6" s="1"/>
  <c r="N86" i="6" s="1"/>
  <c r="I13" i="6"/>
  <c r="J13" i="6" s="1"/>
  <c r="R83" i="5"/>
  <c r="R43" i="5"/>
  <c r="R24" i="5"/>
  <c r="S83" i="5"/>
  <c r="S84" i="5" s="1"/>
  <c r="T12" i="5"/>
  <c r="R26" i="5"/>
  <c r="R58" i="5"/>
  <c r="P89" i="5"/>
  <c r="P86" i="5"/>
  <c r="P87" i="5" s="1"/>
  <c r="P88" i="5" s="1"/>
  <c r="G85" i="5"/>
  <c r="I40" i="5" s="1"/>
  <c r="J40" i="5" s="1"/>
  <c r="Q89" i="5"/>
  <c r="W12" i="5"/>
  <c r="V13" i="5"/>
  <c r="I81" i="4"/>
  <c r="J81" i="4" s="1"/>
  <c r="Q85" i="4"/>
  <c r="W13" i="4"/>
  <c r="W14" i="4" s="1"/>
  <c r="W15" i="4" s="1"/>
  <c r="W16" i="4" s="1"/>
  <c r="W17" i="4" s="1"/>
  <c r="W18" i="4" s="1"/>
  <c r="W19" i="4" s="1"/>
  <c r="W20" i="4" s="1"/>
  <c r="W21" i="4" s="1"/>
  <c r="W22" i="4" s="1"/>
  <c r="W23" i="4" s="1"/>
  <c r="W24" i="4" s="1"/>
  <c r="W25" i="4" s="1"/>
  <c r="W26" i="4" s="1"/>
  <c r="W27" i="4" s="1"/>
  <c r="W28" i="4" s="1"/>
  <c r="W29" i="4" s="1"/>
  <c r="W30" i="4" s="1"/>
  <c r="W31" i="4" s="1"/>
  <c r="W32" i="4" s="1"/>
  <c r="W33" i="4" s="1"/>
  <c r="W34" i="4" s="1"/>
  <c r="W35" i="4" s="1"/>
  <c r="W36" i="4" s="1"/>
  <c r="W37" i="4" s="1"/>
  <c r="W38" i="4" s="1"/>
  <c r="W39" i="4" s="1"/>
  <c r="W40" i="4" s="1"/>
  <c r="W41" i="4" s="1"/>
  <c r="W42" i="4" s="1"/>
  <c r="W43" i="4" s="1"/>
  <c r="W44" i="4" s="1"/>
  <c r="W45" i="4" s="1"/>
  <c r="W46" i="4" s="1"/>
  <c r="W47" i="4" s="1"/>
  <c r="W48" i="4" s="1"/>
  <c r="W49" i="4" s="1"/>
  <c r="W50" i="4" s="1"/>
  <c r="W51" i="4" s="1"/>
  <c r="W52" i="4" s="1"/>
  <c r="W53" i="4" s="1"/>
  <c r="W54" i="4" s="1"/>
  <c r="W55" i="4" s="1"/>
  <c r="W56" i="4" s="1"/>
  <c r="W57" i="4" s="1"/>
  <c r="W58" i="4" s="1"/>
  <c r="W59" i="4" s="1"/>
  <c r="W60" i="4" s="1"/>
  <c r="W61" i="4" s="1"/>
  <c r="W62" i="4" s="1"/>
  <c r="W63" i="4" s="1"/>
  <c r="W64" i="4" s="1"/>
  <c r="W65" i="4" s="1"/>
  <c r="W66" i="4" s="1"/>
  <c r="W67" i="4" s="1"/>
  <c r="W68" i="4" s="1"/>
  <c r="W69" i="4" s="1"/>
  <c r="W70" i="4" s="1"/>
  <c r="W71" i="4" s="1"/>
  <c r="W72" i="4" s="1"/>
  <c r="W73" i="4" s="1"/>
  <c r="W74" i="4" s="1"/>
  <c r="W75" i="4" s="1"/>
  <c r="W76" i="4" s="1"/>
  <c r="W77" i="4" s="1"/>
  <c r="W78" i="4" s="1"/>
  <c r="W79" i="4" s="1"/>
  <c r="W80" i="4" s="1"/>
  <c r="W81" i="4" s="1"/>
  <c r="I60" i="4"/>
  <c r="J60" i="4" s="1"/>
  <c r="X12" i="4"/>
  <c r="Y11" i="4"/>
  <c r="AB11" i="4" s="1"/>
  <c r="E87" i="4"/>
  <c r="F83" i="4"/>
  <c r="I14" i="4"/>
  <c r="J14" i="4" s="1"/>
  <c r="T57" i="4"/>
  <c r="T82" i="4" s="1"/>
  <c r="I42" i="4"/>
  <c r="J42" i="4" s="1"/>
  <c r="I50" i="4"/>
  <c r="J50" i="4" s="1"/>
  <c r="G86" i="4"/>
  <c r="I31" i="4"/>
  <c r="J31" i="4" s="1"/>
  <c r="I46" i="4"/>
  <c r="J46" i="4" s="1"/>
  <c r="I37" i="4"/>
  <c r="J37" i="4" s="1"/>
  <c r="I36" i="4"/>
  <c r="J36" i="4" s="1"/>
  <c r="U82" i="4"/>
  <c r="W14" i="3"/>
  <c r="X13" i="3"/>
  <c r="AB13" i="3" s="1"/>
  <c r="K72" i="3"/>
  <c r="L72" i="3" s="1"/>
  <c r="T89" i="3"/>
  <c r="T90" i="3" s="1"/>
  <c r="K51" i="3"/>
  <c r="L51" i="3" s="1"/>
  <c r="K76" i="3"/>
  <c r="L76" i="3" s="1"/>
  <c r="K53" i="3"/>
  <c r="L53" i="3" s="1"/>
  <c r="K70" i="3"/>
  <c r="L70" i="3" s="1"/>
  <c r="I91" i="3"/>
  <c r="K43" i="3" s="1"/>
  <c r="L43" i="3" s="1"/>
  <c r="V15" i="3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V38" i="3" s="1"/>
  <c r="V39" i="3" s="1"/>
  <c r="V40" i="3" s="1"/>
  <c r="V41" i="3" s="1"/>
  <c r="V42" i="3" s="1"/>
  <c r="V43" i="3" s="1"/>
  <c r="V44" i="3" s="1"/>
  <c r="V45" i="3" s="1"/>
  <c r="V46" i="3" s="1"/>
  <c r="V47" i="3" s="1"/>
  <c r="V48" i="3" s="1"/>
  <c r="V49" i="3" s="1"/>
  <c r="V50" i="3" s="1"/>
  <c r="V51" i="3" s="1"/>
  <c r="V52" i="3" s="1"/>
  <c r="V53" i="3" s="1"/>
  <c r="V54" i="3" s="1"/>
  <c r="V55" i="3" s="1"/>
  <c r="V56" i="3" s="1"/>
  <c r="V57" i="3" s="1"/>
  <c r="V58" i="3" s="1"/>
  <c r="V59" i="3" s="1"/>
  <c r="V60" i="3" s="1"/>
  <c r="V61" i="3" s="1"/>
  <c r="V62" i="3" s="1"/>
  <c r="V63" i="3" s="1"/>
  <c r="V64" i="3" s="1"/>
  <c r="V65" i="3" s="1"/>
  <c r="V66" i="3" s="1"/>
  <c r="V67" i="3" s="1"/>
  <c r="V68" i="3" s="1"/>
  <c r="V69" i="3" s="1"/>
  <c r="V70" i="3" s="1"/>
  <c r="V71" i="3" s="1"/>
  <c r="V72" i="3" s="1"/>
  <c r="V73" i="3" s="1"/>
  <c r="V74" i="3" s="1"/>
  <c r="V75" i="3" s="1"/>
  <c r="V76" i="3" s="1"/>
  <c r="V77" i="3" s="1"/>
  <c r="V78" i="3" s="1"/>
  <c r="V79" i="3" s="1"/>
  <c r="V80" i="3" s="1"/>
  <c r="V81" i="3" s="1"/>
  <c r="V82" i="3" s="1"/>
  <c r="V83" i="3" s="1"/>
  <c r="V84" i="3" s="1"/>
  <c r="V85" i="3" s="1"/>
  <c r="V86" i="3" s="1"/>
  <c r="V87" i="3" s="1"/>
  <c r="V88" i="3" s="1"/>
  <c r="K63" i="3"/>
  <c r="L63" i="3" s="1"/>
  <c r="K47" i="3"/>
  <c r="L47" i="3" s="1"/>
  <c r="K52" i="3"/>
  <c r="L52" i="3" s="1"/>
  <c r="K86" i="3"/>
  <c r="L86" i="3" s="1"/>
  <c r="K29" i="3"/>
  <c r="L29" i="3" s="1"/>
  <c r="K17" i="3"/>
  <c r="L17" i="3" s="1"/>
  <c r="H67" i="2"/>
  <c r="H53" i="2"/>
  <c r="H52" i="2"/>
  <c r="H81" i="2"/>
  <c r="H73" i="2"/>
  <c r="H78" i="2"/>
  <c r="H64" i="2"/>
  <c r="H86" i="2"/>
  <c r="H70" i="2"/>
  <c r="H56" i="2"/>
  <c r="H75" i="2"/>
  <c r="H38" i="2"/>
  <c r="H27" i="2"/>
  <c r="H19" i="2"/>
  <c r="H49" i="2"/>
  <c r="H66" i="2"/>
  <c r="H46" i="2"/>
  <c r="H88" i="2"/>
  <c r="H61" i="2"/>
  <c r="H35" i="2"/>
  <c r="H40" i="2"/>
  <c r="H34" i="2"/>
  <c r="H24" i="2"/>
  <c r="H26" i="2"/>
  <c r="H23" i="2"/>
  <c r="H31" i="2"/>
  <c r="H15" i="2"/>
  <c r="H80" i="2"/>
  <c r="H18" i="2"/>
  <c r="H16" i="2"/>
  <c r="H20" i="2"/>
  <c r="H55" i="2"/>
  <c r="H69" i="2"/>
  <c r="H84" i="2"/>
  <c r="H77" i="2"/>
  <c r="H71" i="2"/>
  <c r="H14" i="2"/>
  <c r="H28" i="2"/>
  <c r="H57" i="2"/>
  <c r="H43" i="2"/>
  <c r="H63" i="2"/>
  <c r="H17" i="2"/>
  <c r="H65" i="2"/>
  <c r="H54" i="2"/>
  <c r="H12" i="2"/>
  <c r="H30" i="2"/>
  <c r="H22" i="2"/>
  <c r="H51" i="2"/>
  <c r="H74" i="2"/>
  <c r="H76" i="2"/>
  <c r="H37" i="2"/>
  <c r="H39" i="2"/>
  <c r="H42" i="2"/>
  <c r="H87" i="2"/>
  <c r="H25" i="2"/>
  <c r="H13" i="2"/>
  <c r="H29" i="2"/>
  <c r="H36" i="2"/>
  <c r="H60" i="2"/>
  <c r="H79" i="2"/>
  <c r="H45" i="2"/>
  <c r="H59" i="2"/>
  <c r="H68" i="2"/>
  <c r="H50" i="2"/>
  <c r="H44" i="2"/>
  <c r="H33" i="2"/>
  <c r="H32" i="2"/>
  <c r="H62" i="2"/>
  <c r="H47" i="2"/>
  <c r="H41" i="2"/>
  <c r="H82" i="2"/>
  <c r="H58" i="2"/>
  <c r="H72" i="2"/>
  <c r="H85" i="2"/>
  <c r="H83" i="2"/>
  <c r="H48" i="2"/>
  <c r="H21" i="2"/>
  <c r="M89" i="2"/>
  <c r="AB12" i="2"/>
  <c r="U13" i="2"/>
  <c r="V12" i="2"/>
  <c r="Z12" i="2" s="1"/>
  <c r="R89" i="2"/>
  <c r="R90" i="2" s="1"/>
  <c r="S12" i="2"/>
  <c r="H59" i="7" l="1"/>
  <c r="K59" i="7" s="1"/>
  <c r="H57" i="7"/>
  <c r="K57" i="7" s="1"/>
  <c r="H52" i="7"/>
  <c r="K52" i="7" s="1"/>
  <c r="I63" i="7"/>
  <c r="J63" i="7" s="1"/>
  <c r="I69" i="7"/>
  <c r="J69" i="7" s="1"/>
  <c r="H63" i="7"/>
  <c r="K63" i="7" s="1"/>
  <c r="I45" i="7"/>
  <c r="J45" i="7" s="1"/>
  <c r="H42" i="7"/>
  <c r="K42" i="7" s="1"/>
  <c r="H69" i="7"/>
  <c r="K69" i="7" s="1"/>
  <c r="I57" i="7"/>
  <c r="J57" i="7" s="1"/>
  <c r="I65" i="7"/>
  <c r="J65" i="7" s="1"/>
  <c r="H55" i="7"/>
  <c r="K55" i="7" s="1"/>
  <c r="H65" i="7"/>
  <c r="K65" i="7" s="1"/>
  <c r="H67" i="7"/>
  <c r="K67" i="7" s="1"/>
  <c r="H36" i="7"/>
  <c r="K36" i="7" s="1"/>
  <c r="I33" i="7"/>
  <c r="J33" i="7" s="1"/>
  <c r="H40" i="7"/>
  <c r="K40" i="7" s="1"/>
  <c r="H58" i="7"/>
  <c r="K58" i="7" s="1"/>
  <c r="I55" i="7"/>
  <c r="J55" i="7" s="1"/>
  <c r="H33" i="7"/>
  <c r="K33" i="7" s="1"/>
  <c r="I13" i="7"/>
  <c r="J13" i="7" s="1"/>
  <c r="H71" i="7"/>
  <c r="K71" i="7" s="1"/>
  <c r="I61" i="7"/>
  <c r="J61" i="7" s="1"/>
  <c r="H56" i="7"/>
  <c r="K56" i="7" s="1"/>
  <c r="H61" i="7"/>
  <c r="K61" i="7" s="1"/>
  <c r="I52" i="7"/>
  <c r="J52" i="7" s="1"/>
  <c r="I37" i="7"/>
  <c r="J37" i="7" s="1"/>
  <c r="H32" i="7"/>
  <c r="K32" i="7" s="1"/>
  <c r="H23" i="7"/>
  <c r="K23" i="7" s="1"/>
  <c r="I19" i="7"/>
  <c r="J19" i="7" s="1"/>
  <c r="H18" i="7"/>
  <c r="K18" i="7" s="1"/>
  <c r="H48" i="7"/>
  <c r="K48" i="7" s="1"/>
  <c r="H45" i="7"/>
  <c r="K45" i="7" s="1"/>
  <c r="H37" i="7"/>
  <c r="K37" i="7" s="1"/>
  <c r="H29" i="7"/>
  <c r="K29" i="7" s="1"/>
  <c r="H19" i="7"/>
  <c r="K19" i="7" s="1"/>
  <c r="H41" i="7"/>
  <c r="K41" i="7" s="1"/>
  <c r="H16" i="7"/>
  <c r="K16" i="7" s="1"/>
  <c r="H20" i="7"/>
  <c r="K20" i="7" s="1"/>
  <c r="I47" i="7"/>
  <c r="J47" i="7" s="1"/>
  <c r="H28" i="7"/>
  <c r="K28" i="7" s="1"/>
  <c r="H24" i="7"/>
  <c r="K24" i="7" s="1"/>
  <c r="I67" i="7"/>
  <c r="J67" i="7" s="1"/>
  <c r="H15" i="7"/>
  <c r="K15" i="7" s="1"/>
  <c r="I31" i="7"/>
  <c r="J31" i="7" s="1"/>
  <c r="H49" i="7"/>
  <c r="K49" i="7" s="1"/>
  <c r="H27" i="7"/>
  <c r="K27" i="7" s="1"/>
  <c r="H30" i="7"/>
  <c r="K30" i="7" s="1"/>
  <c r="I62" i="7"/>
  <c r="J62" i="7" s="1"/>
  <c r="H35" i="7"/>
  <c r="K35" i="7" s="1"/>
  <c r="H47" i="7"/>
  <c r="K47" i="7" s="1"/>
  <c r="I40" i="7"/>
  <c r="J40" i="7" s="1"/>
  <c r="H79" i="7"/>
  <c r="K79" i="7" s="1"/>
  <c r="I18" i="7"/>
  <c r="J18" i="7" s="1"/>
  <c r="I64" i="7"/>
  <c r="J64" i="7" s="1"/>
  <c r="I59" i="7"/>
  <c r="J59" i="7" s="1"/>
  <c r="H44" i="7"/>
  <c r="K44" i="7" s="1"/>
  <c r="H76" i="7"/>
  <c r="K76" i="7" s="1"/>
  <c r="H46" i="7"/>
  <c r="K46" i="7" s="1"/>
  <c r="H14" i="7"/>
  <c r="K14" i="7" s="1"/>
  <c r="H68" i="7"/>
  <c r="K68" i="7" s="1"/>
  <c r="I71" i="7"/>
  <c r="J71" i="7" s="1"/>
  <c r="I12" i="7"/>
  <c r="J12" i="7" s="1"/>
  <c r="H80" i="7"/>
  <c r="K80" i="7" s="1"/>
  <c r="I28" i="7"/>
  <c r="J28" i="7" s="1"/>
  <c r="I16" i="7"/>
  <c r="J16" i="7" s="1"/>
  <c r="I27" i="7"/>
  <c r="J27" i="7" s="1"/>
  <c r="H78" i="7"/>
  <c r="K78" i="7" s="1"/>
  <c r="H25" i="7"/>
  <c r="K25" i="7" s="1"/>
  <c r="H62" i="7"/>
  <c r="K62" i="7" s="1"/>
  <c r="H66" i="7"/>
  <c r="K66" i="7" s="1"/>
  <c r="H77" i="7"/>
  <c r="K77" i="7" s="1"/>
  <c r="I58" i="7"/>
  <c r="J58" i="7" s="1"/>
  <c r="I36" i="7"/>
  <c r="J36" i="7" s="1"/>
  <c r="H70" i="7"/>
  <c r="K70" i="7" s="1"/>
  <c r="I17" i="7"/>
  <c r="J17" i="7" s="1"/>
  <c r="H13" i="7"/>
  <c r="K13" i="7" s="1"/>
  <c r="I32" i="7"/>
  <c r="J32" i="7" s="1"/>
  <c r="H38" i="7"/>
  <c r="K38" i="7" s="1"/>
  <c r="I42" i="7"/>
  <c r="J42" i="7" s="1"/>
  <c r="H50" i="7"/>
  <c r="K50" i="7" s="1"/>
  <c r="H43" i="7"/>
  <c r="K43" i="7" s="1"/>
  <c r="H34" i="7"/>
  <c r="K34" i="7" s="1"/>
  <c r="H74" i="7"/>
  <c r="K74" i="7" s="1"/>
  <c r="H60" i="7"/>
  <c r="K60" i="7" s="1"/>
  <c r="H75" i="7"/>
  <c r="K75" i="7" s="1"/>
  <c r="I21" i="7"/>
  <c r="J21" i="7" s="1"/>
  <c r="H17" i="7"/>
  <c r="K17" i="7" s="1"/>
  <c r="H12" i="7"/>
  <c r="K12" i="7" s="1"/>
  <c r="H26" i="7"/>
  <c r="K26" i="7" s="1"/>
  <c r="H54" i="7"/>
  <c r="K54" i="7" s="1"/>
  <c r="H64" i="7"/>
  <c r="K64" i="7" s="1"/>
  <c r="H72" i="7"/>
  <c r="K72" i="7" s="1"/>
  <c r="I66" i="7"/>
  <c r="J66" i="7" s="1"/>
  <c r="I68" i="7"/>
  <c r="J68" i="7" s="1"/>
  <c r="I23" i="7"/>
  <c r="J23" i="7" s="1"/>
  <c r="I60" i="7"/>
  <c r="J60" i="7" s="1"/>
  <c r="I77" i="7"/>
  <c r="J77" i="7" s="1"/>
  <c r="H22" i="7"/>
  <c r="K22" i="7" s="1"/>
  <c r="H39" i="7"/>
  <c r="K39" i="7" s="1"/>
  <c r="H31" i="7"/>
  <c r="K31" i="7" s="1"/>
  <c r="H73" i="7"/>
  <c r="K73" i="7" s="1"/>
  <c r="H53" i="7"/>
  <c r="K53" i="7" s="1"/>
  <c r="H51" i="7"/>
  <c r="K51" i="7" s="1"/>
  <c r="H21" i="7"/>
  <c r="K21" i="7" s="1"/>
  <c r="I35" i="7"/>
  <c r="J35" i="7" s="1"/>
  <c r="I53" i="7"/>
  <c r="J53" i="7" s="1"/>
  <c r="I49" i="7"/>
  <c r="J49" i="7" s="1"/>
  <c r="I24" i="7"/>
  <c r="J24" i="7" s="1"/>
  <c r="I26" i="7"/>
  <c r="J26" i="7" s="1"/>
  <c r="I15" i="7"/>
  <c r="J15" i="7" s="1"/>
  <c r="I44" i="7"/>
  <c r="J44" i="7" s="1"/>
  <c r="I29" i="7"/>
  <c r="J29" i="7" s="1"/>
  <c r="I25" i="7"/>
  <c r="J25" i="7" s="1"/>
  <c r="I70" i="7"/>
  <c r="J70" i="7" s="1"/>
  <c r="I51" i="7"/>
  <c r="J51" i="7" s="1"/>
  <c r="I41" i="7"/>
  <c r="J41" i="7" s="1"/>
  <c r="I38" i="7"/>
  <c r="J38" i="7" s="1"/>
  <c r="I48" i="7"/>
  <c r="J48" i="7" s="1"/>
  <c r="I39" i="7"/>
  <c r="J39" i="7" s="1"/>
  <c r="I30" i="7"/>
  <c r="J30" i="7" s="1"/>
  <c r="I76" i="7"/>
  <c r="J76" i="7" s="1"/>
  <c r="I50" i="7"/>
  <c r="J50" i="7" s="1"/>
  <c r="I73" i="7"/>
  <c r="J73" i="7" s="1"/>
  <c r="I22" i="7"/>
  <c r="J22" i="7" s="1"/>
  <c r="S82" i="7"/>
  <c r="T81" i="7"/>
  <c r="U81" i="7" s="1"/>
  <c r="I54" i="7"/>
  <c r="J54" i="7" s="1"/>
  <c r="I43" i="7"/>
  <c r="J43" i="7" s="1"/>
  <c r="I75" i="7"/>
  <c r="J75" i="7" s="1"/>
  <c r="I79" i="7"/>
  <c r="J79" i="7" s="1"/>
  <c r="I56" i="7"/>
  <c r="J56" i="7" s="1"/>
  <c r="I74" i="7"/>
  <c r="J74" i="7" s="1"/>
  <c r="I14" i="7"/>
  <c r="J14" i="7" s="1"/>
  <c r="V15" i="7"/>
  <c r="W14" i="7"/>
  <c r="AB14" i="7" s="1"/>
  <c r="I78" i="7"/>
  <c r="J78" i="7" s="1"/>
  <c r="I72" i="7"/>
  <c r="J72" i="7" s="1"/>
  <c r="I46" i="7"/>
  <c r="J46" i="7" s="1"/>
  <c r="I80" i="7"/>
  <c r="J80" i="7" s="1"/>
  <c r="H78" i="6"/>
  <c r="K78" i="6" s="1"/>
  <c r="H75" i="6"/>
  <c r="K75" i="6" s="1"/>
  <c r="H72" i="6"/>
  <c r="K72" i="6" s="1"/>
  <c r="H64" i="6"/>
  <c r="K64" i="6" s="1"/>
  <c r="H73" i="6"/>
  <c r="K73" i="6" s="1"/>
  <c r="H70" i="6"/>
  <c r="K70" i="6" s="1"/>
  <c r="H80" i="6"/>
  <c r="K80" i="6" s="1"/>
  <c r="H66" i="6"/>
  <c r="K66" i="6" s="1"/>
  <c r="H63" i="6"/>
  <c r="K63" i="6" s="1"/>
  <c r="I51" i="6"/>
  <c r="J51" i="6" s="1"/>
  <c r="H71" i="6"/>
  <c r="K71" i="6" s="1"/>
  <c r="I58" i="6"/>
  <c r="J58" i="6" s="1"/>
  <c r="I53" i="6"/>
  <c r="J53" i="6" s="1"/>
  <c r="H58" i="6"/>
  <c r="K58" i="6" s="1"/>
  <c r="H53" i="6"/>
  <c r="K53" i="6" s="1"/>
  <c r="H49" i="6"/>
  <c r="K49" i="6" s="1"/>
  <c r="I75" i="6"/>
  <c r="J75" i="6" s="1"/>
  <c r="H45" i="6"/>
  <c r="K45" i="6" s="1"/>
  <c r="H77" i="6"/>
  <c r="K77" i="6" s="1"/>
  <c r="H61" i="6"/>
  <c r="K61" i="6" s="1"/>
  <c r="H55" i="6"/>
  <c r="K55" i="6" s="1"/>
  <c r="H37" i="6"/>
  <c r="K37" i="6" s="1"/>
  <c r="H20" i="6"/>
  <c r="K20" i="6" s="1"/>
  <c r="H18" i="6"/>
  <c r="K18" i="6" s="1"/>
  <c r="H16" i="6"/>
  <c r="K16" i="6" s="1"/>
  <c r="H14" i="6"/>
  <c r="K14" i="6" s="1"/>
  <c r="H12" i="6"/>
  <c r="K12" i="6" s="1"/>
  <c r="H51" i="6"/>
  <c r="K51" i="6" s="1"/>
  <c r="I47" i="6"/>
  <c r="J47" i="6" s="1"/>
  <c r="H47" i="6"/>
  <c r="K47" i="6" s="1"/>
  <c r="H41" i="6"/>
  <c r="K41" i="6" s="1"/>
  <c r="I69" i="6"/>
  <c r="J69" i="6" s="1"/>
  <c r="H60" i="6"/>
  <c r="K60" i="6" s="1"/>
  <c r="H40" i="6"/>
  <c r="K40" i="6" s="1"/>
  <c r="H74" i="6"/>
  <c r="K74" i="6" s="1"/>
  <c r="H69" i="6"/>
  <c r="K69" i="6" s="1"/>
  <c r="I49" i="6"/>
  <c r="J49" i="6" s="1"/>
  <c r="H36" i="6"/>
  <c r="K36" i="6" s="1"/>
  <c r="H38" i="6"/>
  <c r="K38" i="6" s="1"/>
  <c r="I78" i="6"/>
  <c r="J78" i="6" s="1"/>
  <c r="I72" i="6"/>
  <c r="J72" i="6" s="1"/>
  <c r="H39" i="6"/>
  <c r="K39" i="6" s="1"/>
  <c r="I64" i="6"/>
  <c r="J64" i="6" s="1"/>
  <c r="I48" i="6"/>
  <c r="J48" i="6" s="1"/>
  <c r="I12" i="6"/>
  <c r="J12" i="6" s="1"/>
  <c r="I57" i="6"/>
  <c r="J57" i="6" s="1"/>
  <c r="I66" i="6"/>
  <c r="J66" i="6" s="1"/>
  <c r="I37" i="6"/>
  <c r="J37" i="6" s="1"/>
  <c r="I44" i="6"/>
  <c r="J44" i="6" s="1"/>
  <c r="H44" i="6"/>
  <c r="K44" i="6" s="1"/>
  <c r="H67" i="6"/>
  <c r="K67" i="6" s="1"/>
  <c r="H62" i="6"/>
  <c r="K62" i="6" s="1"/>
  <c r="I59" i="6"/>
  <c r="J59" i="6" s="1"/>
  <c r="H48" i="6"/>
  <c r="K48" i="6" s="1"/>
  <c r="H25" i="6"/>
  <c r="K25" i="6" s="1"/>
  <c r="I16" i="6"/>
  <c r="J16" i="6" s="1"/>
  <c r="H30" i="6"/>
  <c r="K30" i="6" s="1"/>
  <c r="H32" i="6"/>
  <c r="K32" i="6" s="1"/>
  <c r="I74" i="6"/>
  <c r="J74" i="6" s="1"/>
  <c r="I40" i="6"/>
  <c r="J40" i="6" s="1"/>
  <c r="H34" i="6"/>
  <c r="K34" i="6" s="1"/>
  <c r="I55" i="6"/>
  <c r="J55" i="6" s="1"/>
  <c r="I52" i="6"/>
  <c r="J52" i="6" s="1"/>
  <c r="H79" i="6"/>
  <c r="K79" i="6" s="1"/>
  <c r="I63" i="6"/>
  <c r="J63" i="6" s="1"/>
  <c r="H56" i="6"/>
  <c r="K56" i="6" s="1"/>
  <c r="H59" i="6"/>
  <c r="K59" i="6" s="1"/>
  <c r="H35" i="6"/>
  <c r="K35" i="6" s="1"/>
  <c r="H27" i="6"/>
  <c r="K27" i="6" s="1"/>
  <c r="H46" i="6"/>
  <c r="K46" i="6" s="1"/>
  <c r="I80" i="6"/>
  <c r="J80" i="6" s="1"/>
  <c r="H28" i="6"/>
  <c r="K28" i="6" s="1"/>
  <c r="I42" i="6"/>
  <c r="J42" i="6" s="1"/>
  <c r="H68" i="6"/>
  <c r="K68" i="6" s="1"/>
  <c r="H31" i="6"/>
  <c r="K31" i="6" s="1"/>
  <c r="I14" i="6"/>
  <c r="J14" i="6" s="1"/>
  <c r="I26" i="6"/>
  <c r="J26" i="6" s="1"/>
  <c r="H24" i="6"/>
  <c r="K24" i="6" s="1"/>
  <c r="H23" i="6"/>
  <c r="K23" i="6" s="1"/>
  <c r="H22" i="6"/>
  <c r="K22" i="6" s="1"/>
  <c r="H50" i="6"/>
  <c r="K50" i="6" s="1"/>
  <c r="H42" i="6"/>
  <c r="K42" i="6" s="1"/>
  <c r="I56" i="6"/>
  <c r="J56" i="6" s="1"/>
  <c r="I73" i="6"/>
  <c r="J73" i="6" s="1"/>
  <c r="I24" i="6"/>
  <c r="J24" i="6" s="1"/>
  <c r="I38" i="6"/>
  <c r="J38" i="6" s="1"/>
  <c r="H26" i="6"/>
  <c r="K26" i="6" s="1"/>
  <c r="H57" i="6"/>
  <c r="K57" i="6" s="1"/>
  <c r="H52" i="6"/>
  <c r="K52" i="6" s="1"/>
  <c r="I70" i="6"/>
  <c r="J70" i="6" s="1"/>
  <c r="I18" i="6"/>
  <c r="J18" i="6" s="1"/>
  <c r="H13" i="6"/>
  <c r="K13" i="6" s="1"/>
  <c r="I23" i="6"/>
  <c r="J23" i="6" s="1"/>
  <c r="I39" i="6"/>
  <c r="J39" i="6" s="1"/>
  <c r="H33" i="6"/>
  <c r="K33" i="6" s="1"/>
  <c r="I50" i="6"/>
  <c r="J50" i="6" s="1"/>
  <c r="H65" i="6"/>
  <c r="K65" i="6" s="1"/>
  <c r="H15" i="6"/>
  <c r="K15" i="6" s="1"/>
  <c r="H29" i="6"/>
  <c r="K29" i="6" s="1"/>
  <c r="I41" i="6"/>
  <c r="J41" i="6" s="1"/>
  <c r="H54" i="6"/>
  <c r="K54" i="6" s="1"/>
  <c r="I20" i="6"/>
  <c r="J20" i="6" s="1"/>
  <c r="I45" i="6"/>
  <c r="J45" i="6" s="1"/>
  <c r="I54" i="6"/>
  <c r="J54" i="6" s="1"/>
  <c r="H17" i="6"/>
  <c r="K17" i="6" s="1"/>
  <c r="H76" i="6"/>
  <c r="K76" i="6" s="1"/>
  <c r="I46" i="6"/>
  <c r="J46" i="6" s="1"/>
  <c r="I77" i="6"/>
  <c r="J77" i="6" s="1"/>
  <c r="I61" i="6"/>
  <c r="J61" i="6" s="1"/>
  <c r="H19" i="6"/>
  <c r="K19" i="6" s="1"/>
  <c r="H43" i="6"/>
  <c r="K43" i="6" s="1"/>
  <c r="H21" i="6"/>
  <c r="K21" i="6" s="1"/>
  <c r="I62" i="6"/>
  <c r="J62" i="6" s="1"/>
  <c r="I35" i="6"/>
  <c r="J35" i="6" s="1"/>
  <c r="I27" i="6"/>
  <c r="J27" i="6" s="1"/>
  <c r="I34" i="6"/>
  <c r="J34" i="6" s="1"/>
  <c r="I71" i="6"/>
  <c r="J71" i="6" s="1"/>
  <c r="I36" i="6"/>
  <c r="J36" i="6" s="1"/>
  <c r="I15" i="6"/>
  <c r="J15" i="6" s="1"/>
  <c r="I29" i="6"/>
  <c r="J29" i="6" s="1"/>
  <c r="I60" i="6"/>
  <c r="J60" i="6" s="1"/>
  <c r="W14" i="6"/>
  <c r="Z14" i="6" s="1"/>
  <c r="V15" i="6"/>
  <c r="I68" i="5"/>
  <c r="J68" i="5" s="1"/>
  <c r="I16" i="5"/>
  <c r="J16" i="5" s="1"/>
  <c r="I26" i="5"/>
  <c r="J26" i="5" s="1"/>
  <c r="I80" i="5"/>
  <c r="J80" i="5" s="1"/>
  <c r="I44" i="5"/>
  <c r="J44" i="5" s="1"/>
  <c r="I36" i="5"/>
  <c r="J36" i="5" s="1"/>
  <c r="I23" i="5"/>
  <c r="J23" i="5" s="1"/>
  <c r="H59" i="5"/>
  <c r="K59" i="5" s="1"/>
  <c r="H57" i="5"/>
  <c r="K57" i="5" s="1"/>
  <c r="H53" i="5"/>
  <c r="K53" i="5" s="1"/>
  <c r="I61" i="5"/>
  <c r="J61" i="5" s="1"/>
  <c r="H47" i="5"/>
  <c r="K47" i="5" s="1"/>
  <c r="H81" i="5"/>
  <c r="K81" i="5" s="1"/>
  <c r="H73" i="5"/>
  <c r="K73" i="5" s="1"/>
  <c r="H65" i="5"/>
  <c r="K65" i="5" s="1"/>
  <c r="H61" i="5"/>
  <c r="K61" i="5" s="1"/>
  <c r="I55" i="5"/>
  <c r="J55" i="5" s="1"/>
  <c r="I51" i="5"/>
  <c r="J51" i="5" s="1"/>
  <c r="H50" i="5"/>
  <c r="K50" i="5" s="1"/>
  <c r="H79" i="5"/>
  <c r="K79" i="5" s="1"/>
  <c r="H71" i="5"/>
  <c r="K71" i="5" s="1"/>
  <c r="H55" i="5"/>
  <c r="K55" i="5" s="1"/>
  <c r="H51" i="5"/>
  <c r="K51" i="5" s="1"/>
  <c r="H49" i="5"/>
  <c r="K49" i="5" s="1"/>
  <c r="H46" i="5"/>
  <c r="K46" i="5" s="1"/>
  <c r="I59" i="5"/>
  <c r="J59" i="5" s="1"/>
  <c r="I57" i="5"/>
  <c r="J57" i="5" s="1"/>
  <c r="I37" i="5"/>
  <c r="J37" i="5" s="1"/>
  <c r="I31" i="5"/>
  <c r="J31" i="5" s="1"/>
  <c r="H17" i="5"/>
  <c r="K17" i="5" s="1"/>
  <c r="I33" i="5"/>
  <c r="J33" i="5" s="1"/>
  <c r="H41" i="5"/>
  <c r="K41" i="5" s="1"/>
  <c r="H40" i="5"/>
  <c r="K40" i="5" s="1"/>
  <c r="H43" i="5"/>
  <c r="K43" i="5" s="1"/>
  <c r="H42" i="5"/>
  <c r="K42" i="5" s="1"/>
  <c r="I35" i="5"/>
  <c r="J35" i="5" s="1"/>
  <c r="H20" i="5"/>
  <c r="K20" i="5" s="1"/>
  <c r="H18" i="5"/>
  <c r="K18" i="5" s="1"/>
  <c r="H45" i="5"/>
  <c r="K45" i="5" s="1"/>
  <c r="H44" i="5"/>
  <c r="K44" i="5" s="1"/>
  <c r="H77" i="5"/>
  <c r="K77" i="5" s="1"/>
  <c r="H25" i="5"/>
  <c r="K25" i="5" s="1"/>
  <c r="H23" i="5"/>
  <c r="K23" i="5" s="1"/>
  <c r="H69" i="5"/>
  <c r="K69" i="5" s="1"/>
  <c r="I21" i="5"/>
  <c r="J21" i="5" s="1"/>
  <c r="I19" i="5"/>
  <c r="J19" i="5" s="1"/>
  <c r="H21" i="5"/>
  <c r="K21" i="5" s="1"/>
  <c r="H19" i="5"/>
  <c r="K19" i="5" s="1"/>
  <c r="H15" i="5"/>
  <c r="K15" i="5" s="1"/>
  <c r="I17" i="5"/>
  <c r="J17" i="5" s="1"/>
  <c r="H26" i="5"/>
  <c r="K26" i="5" s="1"/>
  <c r="H63" i="5"/>
  <c r="K63" i="5" s="1"/>
  <c r="I53" i="5"/>
  <c r="J53" i="5" s="1"/>
  <c r="H32" i="5"/>
  <c r="K32" i="5" s="1"/>
  <c r="H56" i="5"/>
  <c r="K56" i="5" s="1"/>
  <c r="H76" i="5"/>
  <c r="K76" i="5" s="1"/>
  <c r="H39" i="5"/>
  <c r="K39" i="5" s="1"/>
  <c r="H82" i="5"/>
  <c r="K82" i="5" s="1"/>
  <c r="H30" i="5"/>
  <c r="K30" i="5" s="1"/>
  <c r="I47" i="5"/>
  <c r="J47" i="5" s="1"/>
  <c r="H62" i="5"/>
  <c r="K62" i="5" s="1"/>
  <c r="H66" i="5"/>
  <c r="K66" i="5" s="1"/>
  <c r="H67" i="5"/>
  <c r="K67" i="5" s="1"/>
  <c r="H80" i="5"/>
  <c r="K80" i="5" s="1"/>
  <c r="I14" i="5"/>
  <c r="J14" i="5" s="1"/>
  <c r="I24" i="5"/>
  <c r="J24" i="5" s="1"/>
  <c r="I41" i="5"/>
  <c r="J41" i="5" s="1"/>
  <c r="I48" i="5"/>
  <c r="J48" i="5" s="1"/>
  <c r="H34" i="5"/>
  <c r="K34" i="5" s="1"/>
  <c r="H58" i="5"/>
  <c r="K58" i="5" s="1"/>
  <c r="H27" i="5"/>
  <c r="K27" i="5" s="1"/>
  <c r="H54" i="5"/>
  <c r="K54" i="5" s="1"/>
  <c r="H74" i="5"/>
  <c r="K74" i="5" s="1"/>
  <c r="H75" i="5"/>
  <c r="K75" i="5" s="1"/>
  <c r="H36" i="5"/>
  <c r="K36" i="5" s="1"/>
  <c r="H70" i="5"/>
  <c r="K70" i="5" s="1"/>
  <c r="I27" i="5"/>
  <c r="J27" i="5" s="1"/>
  <c r="H22" i="5"/>
  <c r="K22" i="5" s="1"/>
  <c r="H12" i="5"/>
  <c r="K12" i="5" s="1"/>
  <c r="I49" i="5"/>
  <c r="J49" i="5" s="1"/>
  <c r="I54" i="5"/>
  <c r="J54" i="5" s="1"/>
  <c r="H29" i="5"/>
  <c r="K29" i="5" s="1"/>
  <c r="I39" i="5"/>
  <c r="J39" i="5" s="1"/>
  <c r="H14" i="5"/>
  <c r="K14" i="5" s="1"/>
  <c r="H16" i="5"/>
  <c r="K16" i="5" s="1"/>
  <c r="I52" i="5"/>
  <c r="J52" i="5" s="1"/>
  <c r="I56" i="5"/>
  <c r="J56" i="5" s="1"/>
  <c r="H38" i="5"/>
  <c r="K38" i="5" s="1"/>
  <c r="H60" i="5"/>
  <c r="K60" i="5" s="1"/>
  <c r="H31" i="5"/>
  <c r="K31" i="5" s="1"/>
  <c r="H64" i="5"/>
  <c r="K64" i="5" s="1"/>
  <c r="I12" i="5"/>
  <c r="J12" i="5" s="1"/>
  <c r="H24" i="5"/>
  <c r="K24" i="5" s="1"/>
  <c r="I45" i="5"/>
  <c r="J45" i="5" s="1"/>
  <c r="H28" i="5"/>
  <c r="K28" i="5" s="1"/>
  <c r="H48" i="5"/>
  <c r="K48" i="5" s="1"/>
  <c r="H33" i="5"/>
  <c r="K33" i="5" s="1"/>
  <c r="H72" i="5"/>
  <c r="K72" i="5" s="1"/>
  <c r="I29" i="5"/>
  <c r="J29" i="5" s="1"/>
  <c r="I22" i="5"/>
  <c r="J22" i="5" s="1"/>
  <c r="I46" i="5"/>
  <c r="J46" i="5" s="1"/>
  <c r="H35" i="5"/>
  <c r="K35" i="5" s="1"/>
  <c r="H13" i="5"/>
  <c r="K13" i="5" s="1"/>
  <c r="I43" i="5"/>
  <c r="J43" i="5" s="1"/>
  <c r="H52" i="5"/>
  <c r="K52" i="5" s="1"/>
  <c r="H68" i="5"/>
  <c r="K68" i="5" s="1"/>
  <c r="H78" i="5"/>
  <c r="K78" i="5" s="1"/>
  <c r="H37" i="5"/>
  <c r="K37" i="5" s="1"/>
  <c r="I78" i="5"/>
  <c r="J78" i="5" s="1"/>
  <c r="I69" i="5"/>
  <c r="J69" i="5" s="1"/>
  <c r="I50" i="5"/>
  <c r="J50" i="5" s="1"/>
  <c r="W13" i="5"/>
  <c r="AA13" i="5" s="1"/>
  <c r="V14" i="5"/>
  <c r="I79" i="5"/>
  <c r="J79" i="5" s="1"/>
  <c r="I34" i="5"/>
  <c r="J34" i="5" s="1"/>
  <c r="I25" i="5"/>
  <c r="J25" i="5" s="1"/>
  <c r="I62" i="5"/>
  <c r="J62" i="5" s="1"/>
  <c r="I15" i="5"/>
  <c r="J15" i="5" s="1"/>
  <c r="I70" i="5"/>
  <c r="J70" i="5" s="1"/>
  <c r="I77" i="5"/>
  <c r="J77" i="5" s="1"/>
  <c r="I38" i="5"/>
  <c r="J38" i="5" s="1"/>
  <c r="I72" i="5"/>
  <c r="J72" i="5" s="1"/>
  <c r="I13" i="5"/>
  <c r="J13" i="5" s="1"/>
  <c r="I20" i="5"/>
  <c r="J20" i="5" s="1"/>
  <c r="AA12" i="5"/>
  <c r="I81" i="5"/>
  <c r="I66" i="5"/>
  <c r="J66" i="5" s="1"/>
  <c r="I28" i="5"/>
  <c r="J28" i="5" s="1"/>
  <c r="I18" i="5"/>
  <c r="J18" i="5" s="1"/>
  <c r="I42" i="5"/>
  <c r="J42" i="5" s="1"/>
  <c r="I30" i="5"/>
  <c r="J30" i="5" s="1"/>
  <c r="I63" i="5"/>
  <c r="J63" i="5" s="1"/>
  <c r="I64" i="5"/>
  <c r="J64" i="5" s="1"/>
  <c r="I74" i="5"/>
  <c r="J74" i="5" s="1"/>
  <c r="I75" i="5"/>
  <c r="J75" i="5" s="1"/>
  <c r="T83" i="5"/>
  <c r="U12" i="5"/>
  <c r="U83" i="5" s="1"/>
  <c r="I73" i="5"/>
  <c r="J73" i="5" s="1"/>
  <c r="I71" i="5"/>
  <c r="J71" i="5" s="1"/>
  <c r="I32" i="5"/>
  <c r="J32" i="5" s="1"/>
  <c r="I58" i="5"/>
  <c r="J58" i="5" s="1"/>
  <c r="I82" i="5"/>
  <c r="J82" i="5" s="1"/>
  <c r="I76" i="5"/>
  <c r="J76" i="5" s="1"/>
  <c r="I67" i="5"/>
  <c r="J67" i="5" s="1"/>
  <c r="I65" i="5"/>
  <c r="J65" i="5" s="1"/>
  <c r="I60" i="5"/>
  <c r="J60" i="5" s="1"/>
  <c r="H80" i="4"/>
  <c r="K80" i="4" s="1"/>
  <c r="H76" i="4"/>
  <c r="K76" i="4" s="1"/>
  <c r="H72" i="4"/>
  <c r="K72" i="4" s="1"/>
  <c r="H68" i="4"/>
  <c r="K68" i="4" s="1"/>
  <c r="H79" i="4"/>
  <c r="K79" i="4" s="1"/>
  <c r="H75" i="4"/>
  <c r="K75" i="4" s="1"/>
  <c r="H71" i="4"/>
  <c r="K71" i="4" s="1"/>
  <c r="H67" i="4"/>
  <c r="K67" i="4" s="1"/>
  <c r="I63" i="4"/>
  <c r="J63" i="4" s="1"/>
  <c r="H59" i="4"/>
  <c r="K59" i="4" s="1"/>
  <c r="H58" i="4"/>
  <c r="K58" i="4" s="1"/>
  <c r="I64" i="4"/>
  <c r="J64" i="4" s="1"/>
  <c r="H63" i="4"/>
  <c r="K63" i="4" s="1"/>
  <c r="H62" i="4"/>
  <c r="K62" i="4" s="1"/>
  <c r="I71" i="4"/>
  <c r="J71" i="4" s="1"/>
  <c r="H64" i="4"/>
  <c r="K64" i="4" s="1"/>
  <c r="I51" i="4"/>
  <c r="J51" i="4" s="1"/>
  <c r="I55" i="4"/>
  <c r="J55" i="4" s="1"/>
  <c r="H44" i="4"/>
  <c r="K44" i="4" s="1"/>
  <c r="H50" i="4"/>
  <c r="K50" i="4" s="1"/>
  <c r="I52" i="4"/>
  <c r="J52" i="4" s="1"/>
  <c r="H49" i="4"/>
  <c r="K49" i="4" s="1"/>
  <c r="H28" i="4"/>
  <c r="K28" i="4" s="1"/>
  <c r="H21" i="4"/>
  <c r="K21" i="4" s="1"/>
  <c r="H17" i="4"/>
  <c r="K17" i="4" s="1"/>
  <c r="H13" i="4"/>
  <c r="K13" i="4" s="1"/>
  <c r="H55" i="4"/>
  <c r="K55" i="4" s="1"/>
  <c r="H47" i="4"/>
  <c r="K47" i="4" s="1"/>
  <c r="H30" i="4"/>
  <c r="K30" i="4" s="1"/>
  <c r="I11" i="4"/>
  <c r="J11" i="4" s="1"/>
  <c r="H53" i="4"/>
  <c r="K53" i="4" s="1"/>
  <c r="H43" i="4"/>
  <c r="K43" i="4" s="1"/>
  <c r="H40" i="4"/>
  <c r="K40" i="4" s="1"/>
  <c r="H27" i="4"/>
  <c r="K27" i="4" s="1"/>
  <c r="H23" i="4"/>
  <c r="K23" i="4" s="1"/>
  <c r="H19" i="4"/>
  <c r="K19" i="4" s="1"/>
  <c r="H15" i="4"/>
  <c r="K15" i="4" s="1"/>
  <c r="H11" i="4"/>
  <c r="K11" i="4" s="1"/>
  <c r="H54" i="4"/>
  <c r="K54" i="4" s="1"/>
  <c r="H29" i="4"/>
  <c r="K29" i="4" s="1"/>
  <c r="H35" i="4"/>
  <c r="K35" i="4" s="1"/>
  <c r="H26" i="4"/>
  <c r="K26" i="4" s="1"/>
  <c r="I19" i="4"/>
  <c r="J19" i="4" s="1"/>
  <c r="H39" i="4"/>
  <c r="K39" i="4" s="1"/>
  <c r="H33" i="4"/>
  <c r="K33" i="4" s="1"/>
  <c r="I54" i="4"/>
  <c r="J54" i="4" s="1"/>
  <c r="I72" i="4"/>
  <c r="J72" i="4" s="1"/>
  <c r="H25" i="4"/>
  <c r="K25" i="4" s="1"/>
  <c r="H45" i="4"/>
  <c r="K45" i="4" s="1"/>
  <c r="H57" i="4"/>
  <c r="K57" i="4" s="1"/>
  <c r="I79" i="4"/>
  <c r="J79" i="4" s="1"/>
  <c r="I40" i="4"/>
  <c r="J40" i="4" s="1"/>
  <c r="I27" i="4"/>
  <c r="J27" i="4" s="1"/>
  <c r="H20" i="4"/>
  <c r="K20" i="4" s="1"/>
  <c r="I66" i="4"/>
  <c r="J66" i="4" s="1"/>
  <c r="H42" i="4"/>
  <c r="K42" i="4" s="1"/>
  <c r="H73" i="4"/>
  <c r="K73" i="4" s="1"/>
  <c r="I49" i="4"/>
  <c r="J49" i="4" s="1"/>
  <c r="I80" i="4"/>
  <c r="J80" i="4" s="1"/>
  <c r="H34" i="4"/>
  <c r="K34" i="4" s="1"/>
  <c r="I23" i="4"/>
  <c r="J23" i="4" s="1"/>
  <c r="H24" i="4"/>
  <c r="K24" i="4" s="1"/>
  <c r="H41" i="4"/>
  <c r="K41" i="4" s="1"/>
  <c r="H66" i="4"/>
  <c r="K66" i="4" s="1"/>
  <c r="I75" i="4"/>
  <c r="J75" i="4" s="1"/>
  <c r="H69" i="4"/>
  <c r="K69" i="4" s="1"/>
  <c r="I39" i="4"/>
  <c r="J39" i="4" s="1"/>
  <c r="I43" i="4"/>
  <c r="J43" i="4" s="1"/>
  <c r="I44" i="4"/>
  <c r="J44" i="4" s="1"/>
  <c r="I21" i="4"/>
  <c r="J21" i="4" s="1"/>
  <c r="H48" i="4"/>
  <c r="K48" i="4" s="1"/>
  <c r="I70" i="4"/>
  <c r="J70" i="4" s="1"/>
  <c r="I58" i="4"/>
  <c r="J58" i="4" s="1"/>
  <c r="I59" i="4"/>
  <c r="J59" i="4" s="1"/>
  <c r="I76" i="4"/>
  <c r="J76" i="4" s="1"/>
  <c r="I78" i="4"/>
  <c r="J78" i="4" s="1"/>
  <c r="I17" i="4"/>
  <c r="J17" i="4" s="1"/>
  <c r="H12" i="4"/>
  <c r="K12" i="4" s="1"/>
  <c r="I25" i="4"/>
  <c r="J25" i="4" s="1"/>
  <c r="H74" i="4"/>
  <c r="K74" i="4" s="1"/>
  <c r="H61" i="4"/>
  <c r="K61" i="4" s="1"/>
  <c r="H46" i="4"/>
  <c r="K46" i="4" s="1"/>
  <c r="H65" i="4"/>
  <c r="K65" i="4" s="1"/>
  <c r="H37" i="4"/>
  <c r="K37" i="4" s="1"/>
  <c r="H52" i="4"/>
  <c r="K52" i="4" s="1"/>
  <c r="H81" i="4"/>
  <c r="K81" i="4" s="1"/>
  <c r="H14" i="4"/>
  <c r="K14" i="4" s="1"/>
  <c r="I13" i="4"/>
  <c r="J13" i="4" s="1"/>
  <c r="I38" i="4"/>
  <c r="J38" i="4" s="1"/>
  <c r="H32" i="4"/>
  <c r="K32" i="4" s="1"/>
  <c r="I68" i="4"/>
  <c r="J68" i="4" s="1"/>
  <c r="H38" i="4"/>
  <c r="K38" i="4" s="1"/>
  <c r="I28" i="4"/>
  <c r="J28" i="4" s="1"/>
  <c r="H70" i="4"/>
  <c r="K70" i="4" s="1"/>
  <c r="H18" i="4"/>
  <c r="K18" i="4" s="1"/>
  <c r="I15" i="4"/>
  <c r="J15" i="4" s="1"/>
  <c r="I45" i="4"/>
  <c r="J45" i="4" s="1"/>
  <c r="H31" i="4"/>
  <c r="K31" i="4" s="1"/>
  <c r="I53" i="4"/>
  <c r="J53" i="4" s="1"/>
  <c r="H77" i="4"/>
  <c r="K77" i="4" s="1"/>
  <c r="H22" i="4"/>
  <c r="K22" i="4" s="1"/>
  <c r="H16" i="4"/>
  <c r="K16" i="4" s="1"/>
  <c r="I47" i="4"/>
  <c r="J47" i="4" s="1"/>
  <c r="H51" i="4"/>
  <c r="K51" i="4" s="1"/>
  <c r="I67" i="4"/>
  <c r="J67" i="4" s="1"/>
  <c r="H36" i="4"/>
  <c r="K36" i="4" s="1"/>
  <c r="H56" i="4"/>
  <c r="K56" i="4" s="1"/>
  <c r="H60" i="4"/>
  <c r="K60" i="4" s="1"/>
  <c r="H78" i="4"/>
  <c r="K78" i="4" s="1"/>
  <c r="I56" i="4"/>
  <c r="J56" i="4" s="1"/>
  <c r="I41" i="4"/>
  <c r="J41" i="4" s="1"/>
  <c r="I77" i="4"/>
  <c r="J77" i="4" s="1"/>
  <c r="I29" i="4"/>
  <c r="J29" i="4" s="1"/>
  <c r="I22" i="4"/>
  <c r="J22" i="4" s="1"/>
  <c r="I12" i="4"/>
  <c r="J12" i="4" s="1"/>
  <c r="I32" i="4"/>
  <c r="J32" i="4" s="1"/>
  <c r="I35" i="4"/>
  <c r="J35" i="4" s="1"/>
  <c r="I34" i="4"/>
  <c r="J34" i="4" s="1"/>
  <c r="X13" i="4"/>
  <c r="Y12" i="4"/>
  <c r="AB12" i="4" s="1"/>
  <c r="I62" i="4"/>
  <c r="J62" i="4" s="1"/>
  <c r="I48" i="4"/>
  <c r="J48" i="4" s="1"/>
  <c r="I26" i="4"/>
  <c r="J26" i="4" s="1"/>
  <c r="I61" i="4"/>
  <c r="J61" i="4" s="1"/>
  <c r="I24" i="4"/>
  <c r="J24" i="4" s="1"/>
  <c r="I57" i="4"/>
  <c r="J57" i="4" s="1"/>
  <c r="I16" i="4"/>
  <c r="J16" i="4" s="1"/>
  <c r="I69" i="4"/>
  <c r="J69" i="4" s="1"/>
  <c r="I18" i="4"/>
  <c r="J18" i="4" s="1"/>
  <c r="I30" i="4"/>
  <c r="J30" i="4" s="1"/>
  <c r="U83" i="4"/>
  <c r="V82" i="4"/>
  <c r="I65" i="4"/>
  <c r="J65" i="4" s="1"/>
  <c r="I33" i="4"/>
  <c r="J33" i="4" s="1"/>
  <c r="I20" i="4"/>
  <c r="J20" i="4" s="1"/>
  <c r="I74" i="4"/>
  <c r="J74" i="4" s="1"/>
  <c r="I73" i="4"/>
  <c r="J73" i="4" s="1"/>
  <c r="K84" i="3"/>
  <c r="L84" i="3" s="1"/>
  <c r="K68" i="3"/>
  <c r="L68" i="3" s="1"/>
  <c r="K45" i="3"/>
  <c r="L45" i="3" s="1"/>
  <c r="K15" i="3"/>
  <c r="L15" i="3" s="1"/>
  <c r="K33" i="3"/>
  <c r="L33" i="3" s="1"/>
  <c r="K21" i="3"/>
  <c r="L21" i="3" s="1"/>
  <c r="K25" i="3"/>
  <c r="L25" i="3" s="1"/>
  <c r="K59" i="3"/>
  <c r="L59" i="3" s="1"/>
  <c r="K19" i="3"/>
  <c r="L19" i="3" s="1"/>
  <c r="K39" i="3"/>
  <c r="L39" i="3" s="1"/>
  <c r="K35" i="3"/>
  <c r="L35" i="3" s="1"/>
  <c r="K31" i="3"/>
  <c r="L31" i="3" s="1"/>
  <c r="K55" i="3"/>
  <c r="L55" i="3" s="1"/>
  <c r="K41" i="3"/>
  <c r="L41" i="3" s="1"/>
  <c r="K26" i="3"/>
  <c r="L26" i="3" s="1"/>
  <c r="J67" i="3"/>
  <c r="M67" i="3" s="1"/>
  <c r="J87" i="3"/>
  <c r="M87" i="3" s="1"/>
  <c r="J85" i="3"/>
  <c r="M85" i="3" s="1"/>
  <c r="J75" i="3"/>
  <c r="M75" i="3" s="1"/>
  <c r="J61" i="3"/>
  <c r="M61" i="3" s="1"/>
  <c r="J30" i="3"/>
  <c r="M30" i="3" s="1"/>
  <c r="J28" i="3"/>
  <c r="M28" i="3" s="1"/>
  <c r="K77" i="3"/>
  <c r="L77" i="3" s="1"/>
  <c r="J63" i="3"/>
  <c r="M63" i="3" s="1"/>
  <c r="J83" i="3"/>
  <c r="M83" i="3" s="1"/>
  <c r="J77" i="3"/>
  <c r="M77" i="3" s="1"/>
  <c r="J65" i="3"/>
  <c r="M65" i="3" s="1"/>
  <c r="J57" i="3"/>
  <c r="M57" i="3" s="1"/>
  <c r="K79" i="3"/>
  <c r="L79" i="3" s="1"/>
  <c r="K71" i="3"/>
  <c r="L71" i="3" s="1"/>
  <c r="J60" i="3"/>
  <c r="M60" i="3" s="1"/>
  <c r="J79" i="3"/>
  <c r="M79" i="3" s="1"/>
  <c r="J71" i="3"/>
  <c r="M71" i="3" s="1"/>
  <c r="K69" i="3"/>
  <c r="L69" i="3" s="1"/>
  <c r="J62" i="3"/>
  <c r="M62" i="3" s="1"/>
  <c r="J58" i="3"/>
  <c r="M58" i="3" s="1"/>
  <c r="K73" i="3"/>
  <c r="L73" i="3" s="1"/>
  <c r="J69" i="3"/>
  <c r="M69" i="3" s="1"/>
  <c r="J64" i="3"/>
  <c r="M64" i="3" s="1"/>
  <c r="J54" i="3"/>
  <c r="M54" i="3" s="1"/>
  <c r="K81" i="3"/>
  <c r="L81" i="3" s="1"/>
  <c r="J73" i="3"/>
  <c r="M73" i="3" s="1"/>
  <c r="K75" i="3"/>
  <c r="L75" i="3" s="1"/>
  <c r="K38" i="3"/>
  <c r="L38" i="3" s="1"/>
  <c r="J26" i="3"/>
  <c r="M26" i="3" s="1"/>
  <c r="J22" i="3"/>
  <c r="M22" i="3" s="1"/>
  <c r="J16" i="3"/>
  <c r="M16" i="3" s="1"/>
  <c r="J14" i="3"/>
  <c r="M14" i="3" s="1"/>
  <c r="J12" i="3"/>
  <c r="M12" i="3" s="1"/>
  <c r="J81" i="3"/>
  <c r="M81" i="3" s="1"/>
  <c r="J56" i="3"/>
  <c r="M56" i="3" s="1"/>
  <c r="J55" i="3"/>
  <c r="M55" i="3" s="1"/>
  <c r="K40" i="3"/>
  <c r="L40" i="3" s="1"/>
  <c r="J38" i="3"/>
  <c r="M38" i="3" s="1"/>
  <c r="J53" i="3"/>
  <c r="M53" i="3" s="1"/>
  <c r="K46" i="3"/>
  <c r="L46" i="3" s="1"/>
  <c r="K42" i="3"/>
  <c r="L42" i="3" s="1"/>
  <c r="J40" i="3"/>
  <c r="M40" i="3" s="1"/>
  <c r="J23" i="3"/>
  <c r="M23" i="3" s="1"/>
  <c r="J44" i="3"/>
  <c r="M44" i="3" s="1"/>
  <c r="J59" i="3"/>
  <c r="M59" i="3" s="1"/>
  <c r="J46" i="3"/>
  <c r="M46" i="3" s="1"/>
  <c r="J42" i="3"/>
  <c r="M42" i="3" s="1"/>
  <c r="K32" i="3"/>
  <c r="L32" i="3" s="1"/>
  <c r="J20" i="3"/>
  <c r="M20" i="3" s="1"/>
  <c r="K12" i="3"/>
  <c r="L12" i="3" s="1"/>
  <c r="J50" i="3"/>
  <c r="M50" i="3" s="1"/>
  <c r="K34" i="3"/>
  <c r="L34" i="3" s="1"/>
  <c r="J32" i="3"/>
  <c r="M32" i="3" s="1"/>
  <c r="J24" i="3"/>
  <c r="M24" i="3" s="1"/>
  <c r="J18" i="3"/>
  <c r="M18" i="3" s="1"/>
  <c r="J34" i="3"/>
  <c r="M34" i="3" s="1"/>
  <c r="J48" i="3"/>
  <c r="M48" i="3" s="1"/>
  <c r="K44" i="3"/>
  <c r="L44" i="3" s="1"/>
  <c r="K36" i="3"/>
  <c r="L36" i="3" s="1"/>
  <c r="J36" i="3"/>
  <c r="M36" i="3" s="1"/>
  <c r="K18" i="3"/>
  <c r="L18" i="3" s="1"/>
  <c r="K48" i="3"/>
  <c r="L48" i="3" s="1"/>
  <c r="J17" i="3"/>
  <c r="M17" i="3" s="1"/>
  <c r="J27" i="3"/>
  <c r="M27" i="3" s="1"/>
  <c r="K66" i="3"/>
  <c r="L66" i="3" s="1"/>
  <c r="J74" i="3"/>
  <c r="M74" i="3" s="1"/>
  <c r="K61" i="3"/>
  <c r="L61" i="3" s="1"/>
  <c r="J88" i="3"/>
  <c r="M88" i="3" s="1"/>
  <c r="J66" i="3"/>
  <c r="M66" i="3" s="1"/>
  <c r="K83" i="3"/>
  <c r="L83" i="3" s="1"/>
  <c r="J82" i="3"/>
  <c r="M82" i="3" s="1"/>
  <c r="J47" i="3"/>
  <c r="M47" i="3" s="1"/>
  <c r="J70" i="3"/>
  <c r="M70" i="3" s="1"/>
  <c r="K20" i="3"/>
  <c r="L20" i="3" s="1"/>
  <c r="J39" i="3"/>
  <c r="M39" i="3" s="1"/>
  <c r="J37" i="3"/>
  <c r="M37" i="3" s="1"/>
  <c r="J19" i="3"/>
  <c r="M19" i="3" s="1"/>
  <c r="J29" i="3"/>
  <c r="M29" i="3" s="1"/>
  <c r="J76" i="3"/>
  <c r="M76" i="3" s="1"/>
  <c r="K62" i="3"/>
  <c r="L62" i="3" s="1"/>
  <c r="J49" i="3"/>
  <c r="M49" i="3" s="1"/>
  <c r="K64" i="3"/>
  <c r="L64" i="3" s="1"/>
  <c r="J68" i="3"/>
  <c r="M68" i="3" s="1"/>
  <c r="J86" i="3"/>
  <c r="M86" i="3" s="1"/>
  <c r="K16" i="3"/>
  <c r="L16" i="3" s="1"/>
  <c r="K28" i="3"/>
  <c r="L28" i="3" s="1"/>
  <c r="K50" i="3"/>
  <c r="L50" i="3" s="1"/>
  <c r="K87" i="3"/>
  <c r="L87" i="3" s="1"/>
  <c r="J35" i="3"/>
  <c r="M35" i="3" s="1"/>
  <c r="J41" i="3"/>
  <c r="M41" i="3" s="1"/>
  <c r="J25" i="3"/>
  <c r="M25" i="3" s="1"/>
  <c r="J43" i="3"/>
  <c r="M43" i="3" s="1"/>
  <c r="K57" i="3"/>
  <c r="L57" i="3" s="1"/>
  <c r="J80" i="3"/>
  <c r="M80" i="3" s="1"/>
  <c r="J84" i="3"/>
  <c r="M84" i="3" s="1"/>
  <c r="K30" i="3"/>
  <c r="L30" i="3" s="1"/>
  <c r="K22" i="3"/>
  <c r="L22" i="3" s="1"/>
  <c r="J52" i="3"/>
  <c r="M52" i="3" s="1"/>
  <c r="J13" i="3"/>
  <c r="M13" i="3" s="1"/>
  <c r="J21" i="3"/>
  <c r="M21" i="3" s="1"/>
  <c r="J51" i="3"/>
  <c r="M51" i="3" s="1"/>
  <c r="K65" i="3"/>
  <c r="L65" i="3" s="1"/>
  <c r="J72" i="3"/>
  <c r="M72" i="3" s="1"/>
  <c r="K24" i="3"/>
  <c r="L24" i="3" s="1"/>
  <c r="K23" i="3"/>
  <c r="L23" i="3" s="1"/>
  <c r="J45" i="3"/>
  <c r="M45" i="3" s="1"/>
  <c r="K85" i="3"/>
  <c r="L85" i="3" s="1"/>
  <c r="K56" i="3"/>
  <c r="L56" i="3" s="1"/>
  <c r="J31" i="3"/>
  <c r="M31" i="3" s="1"/>
  <c r="K27" i="3"/>
  <c r="L27" i="3" s="1"/>
  <c r="K54" i="3"/>
  <c r="L54" i="3" s="1"/>
  <c r="J78" i="3"/>
  <c r="M78" i="3" s="1"/>
  <c r="K67" i="3"/>
  <c r="L67" i="3" s="1"/>
  <c r="K58" i="3"/>
  <c r="L58" i="3" s="1"/>
  <c r="K14" i="3"/>
  <c r="L14" i="3" s="1"/>
  <c r="J15" i="3"/>
  <c r="M15" i="3" s="1"/>
  <c r="J33" i="3"/>
  <c r="M33" i="3" s="1"/>
  <c r="K37" i="3"/>
  <c r="L37" i="3" s="1"/>
  <c r="K88" i="3"/>
  <c r="L88" i="3" s="1"/>
  <c r="K78" i="3"/>
  <c r="L78" i="3" s="1"/>
  <c r="K82" i="3"/>
  <c r="L82" i="3" s="1"/>
  <c r="K13" i="3"/>
  <c r="L13" i="3" s="1"/>
  <c r="K74" i="3"/>
  <c r="L74" i="3" s="1"/>
  <c r="K49" i="3"/>
  <c r="L49" i="3" s="1"/>
  <c r="K60" i="3"/>
  <c r="L60" i="3" s="1"/>
  <c r="K80" i="3"/>
  <c r="L80" i="3" s="1"/>
  <c r="X14" i="3"/>
  <c r="AB14" i="3" s="1"/>
  <c r="W15" i="3"/>
  <c r="K58" i="2"/>
  <c r="I58" i="2"/>
  <c r="J58" i="2" s="1"/>
  <c r="K66" i="2"/>
  <c r="I66" i="2"/>
  <c r="J66" i="2" s="1"/>
  <c r="I82" i="2"/>
  <c r="J82" i="2" s="1"/>
  <c r="K82" i="2"/>
  <c r="I68" i="2"/>
  <c r="J68" i="2" s="1"/>
  <c r="K68" i="2"/>
  <c r="I25" i="2"/>
  <c r="J25" i="2" s="1"/>
  <c r="K25" i="2"/>
  <c r="I22" i="2"/>
  <c r="J22" i="2" s="1"/>
  <c r="K22" i="2"/>
  <c r="I57" i="2"/>
  <c r="J57" i="2" s="1"/>
  <c r="K57" i="2"/>
  <c r="K20" i="2"/>
  <c r="I20" i="2"/>
  <c r="J20" i="2" s="1"/>
  <c r="I24" i="2"/>
  <c r="J24" i="2" s="1"/>
  <c r="K24" i="2"/>
  <c r="K49" i="2"/>
  <c r="I49" i="2"/>
  <c r="J49" i="2" s="1"/>
  <c r="K64" i="2"/>
  <c r="I64" i="2"/>
  <c r="J64" i="2" s="1"/>
  <c r="I50" i="2"/>
  <c r="J50" i="2" s="1"/>
  <c r="K50" i="2"/>
  <c r="K26" i="2"/>
  <c r="I26" i="2"/>
  <c r="J26" i="2" s="1"/>
  <c r="K86" i="2"/>
  <c r="I86" i="2"/>
  <c r="J86" i="2" s="1"/>
  <c r="K41" i="2"/>
  <c r="I41" i="2"/>
  <c r="J41" i="2" s="1"/>
  <c r="K59" i="2"/>
  <c r="I59" i="2"/>
  <c r="J59" i="2" s="1"/>
  <c r="I87" i="2"/>
  <c r="J87" i="2" s="1"/>
  <c r="K87" i="2"/>
  <c r="I30" i="2"/>
  <c r="J30" i="2" s="1"/>
  <c r="K30" i="2"/>
  <c r="K28" i="2"/>
  <c r="I28" i="2"/>
  <c r="J28" i="2" s="1"/>
  <c r="I16" i="2"/>
  <c r="J16" i="2" s="1"/>
  <c r="K16" i="2"/>
  <c r="I34" i="2"/>
  <c r="J34" i="2" s="1"/>
  <c r="K34" i="2"/>
  <c r="K19" i="2"/>
  <c r="I19" i="2"/>
  <c r="J19" i="2" s="1"/>
  <c r="K78" i="2"/>
  <c r="I78" i="2"/>
  <c r="J78" i="2" s="1"/>
  <c r="K51" i="2"/>
  <c r="I51" i="2"/>
  <c r="J51" i="2" s="1"/>
  <c r="I42" i="2"/>
  <c r="J42" i="2" s="1"/>
  <c r="K42" i="2"/>
  <c r="K40" i="2"/>
  <c r="I40" i="2"/>
  <c r="J40" i="2" s="1"/>
  <c r="K48" i="2"/>
  <c r="I48" i="2"/>
  <c r="J48" i="2" s="1"/>
  <c r="I79" i="2"/>
  <c r="J79" i="2" s="1"/>
  <c r="K79" i="2"/>
  <c r="I71" i="2"/>
  <c r="J71" i="2" s="1"/>
  <c r="K71" i="2"/>
  <c r="K35" i="2"/>
  <c r="I35" i="2"/>
  <c r="J35" i="2" s="1"/>
  <c r="K38" i="2"/>
  <c r="I38" i="2"/>
  <c r="J38" i="2" s="1"/>
  <c r="I81" i="2"/>
  <c r="J81" i="2" s="1"/>
  <c r="K81" i="2"/>
  <c r="I13" i="2"/>
  <c r="J13" i="2" s="1"/>
  <c r="K13" i="2"/>
  <c r="K21" i="2"/>
  <c r="I21" i="2"/>
  <c r="J21" i="2" s="1"/>
  <c r="K12" i="2"/>
  <c r="I12" i="2"/>
  <c r="J12" i="2" s="1"/>
  <c r="K27" i="2"/>
  <c r="I27" i="2"/>
  <c r="J27" i="2" s="1"/>
  <c r="K62" i="2"/>
  <c r="I62" i="2"/>
  <c r="J62" i="2" s="1"/>
  <c r="I54" i="2"/>
  <c r="J54" i="2" s="1"/>
  <c r="K54" i="2"/>
  <c r="K80" i="2"/>
  <c r="I80" i="2"/>
  <c r="J80" i="2" s="1"/>
  <c r="S89" i="2"/>
  <c r="T12" i="2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T38" i="2" s="1"/>
  <c r="T39" i="2" s="1"/>
  <c r="T40" i="2" s="1"/>
  <c r="T41" i="2" s="1"/>
  <c r="T42" i="2" s="1"/>
  <c r="T43" i="2" s="1"/>
  <c r="T44" i="2" s="1"/>
  <c r="T45" i="2" s="1"/>
  <c r="T46" i="2" s="1"/>
  <c r="T47" i="2" s="1"/>
  <c r="T48" i="2" s="1"/>
  <c r="T49" i="2" s="1"/>
  <c r="T50" i="2" s="1"/>
  <c r="T51" i="2" s="1"/>
  <c r="T52" i="2" s="1"/>
  <c r="T53" i="2" s="1"/>
  <c r="T54" i="2" s="1"/>
  <c r="T55" i="2" s="1"/>
  <c r="T56" i="2" s="1"/>
  <c r="T57" i="2" s="1"/>
  <c r="T58" i="2" s="1"/>
  <c r="T59" i="2" s="1"/>
  <c r="T60" i="2" s="1"/>
  <c r="T61" i="2" s="1"/>
  <c r="T62" i="2" s="1"/>
  <c r="T63" i="2" s="1"/>
  <c r="T64" i="2" s="1"/>
  <c r="T65" i="2" s="1"/>
  <c r="T66" i="2" s="1"/>
  <c r="T67" i="2" s="1"/>
  <c r="T68" i="2" s="1"/>
  <c r="T69" i="2" s="1"/>
  <c r="T70" i="2" s="1"/>
  <c r="T71" i="2" s="1"/>
  <c r="T72" i="2" s="1"/>
  <c r="T73" i="2" s="1"/>
  <c r="T74" i="2" s="1"/>
  <c r="T75" i="2" s="1"/>
  <c r="T76" i="2" s="1"/>
  <c r="T77" i="2" s="1"/>
  <c r="T78" i="2" s="1"/>
  <c r="T79" i="2" s="1"/>
  <c r="T80" i="2" s="1"/>
  <c r="T81" i="2" s="1"/>
  <c r="T82" i="2" s="1"/>
  <c r="T83" i="2" s="1"/>
  <c r="T84" i="2" s="1"/>
  <c r="T85" i="2" s="1"/>
  <c r="T86" i="2" s="1"/>
  <c r="T87" i="2" s="1"/>
  <c r="T88" i="2" s="1"/>
  <c r="K83" i="2"/>
  <c r="I83" i="2"/>
  <c r="J83" i="2" s="1"/>
  <c r="I32" i="2"/>
  <c r="J32" i="2" s="1"/>
  <c r="K32" i="2"/>
  <c r="I60" i="2"/>
  <c r="J60" i="2" s="1"/>
  <c r="K60" i="2"/>
  <c r="K37" i="2"/>
  <c r="I37" i="2"/>
  <c r="J37" i="2" s="1"/>
  <c r="I65" i="2"/>
  <c r="J65" i="2" s="1"/>
  <c r="K65" i="2"/>
  <c r="K77" i="2"/>
  <c r="I77" i="2"/>
  <c r="J77" i="2" s="1"/>
  <c r="K15" i="2"/>
  <c r="I15" i="2"/>
  <c r="J15" i="2" s="1"/>
  <c r="K61" i="2"/>
  <c r="I61" i="2"/>
  <c r="J61" i="2" s="1"/>
  <c r="K75" i="2"/>
  <c r="I75" i="2"/>
  <c r="J75" i="2" s="1"/>
  <c r="I52" i="2"/>
  <c r="J52" i="2" s="1"/>
  <c r="K52" i="2"/>
  <c r="V13" i="2"/>
  <c r="Z13" i="2" s="1"/>
  <c r="U14" i="2"/>
  <c r="K55" i="2"/>
  <c r="I55" i="2"/>
  <c r="J55" i="2" s="1"/>
  <c r="I47" i="2"/>
  <c r="J47" i="2" s="1"/>
  <c r="K47" i="2"/>
  <c r="I14" i="2"/>
  <c r="J14" i="2" s="1"/>
  <c r="K14" i="2"/>
  <c r="I73" i="2"/>
  <c r="J73" i="2" s="1"/>
  <c r="K73" i="2"/>
  <c r="I39" i="2"/>
  <c r="J39" i="2" s="1"/>
  <c r="K39" i="2"/>
  <c r="K85" i="2"/>
  <c r="I85" i="2"/>
  <c r="J85" i="2" s="1"/>
  <c r="K33" i="2"/>
  <c r="I33" i="2"/>
  <c r="J33" i="2" s="1"/>
  <c r="I36" i="2"/>
  <c r="J36" i="2" s="1"/>
  <c r="K36" i="2"/>
  <c r="K76" i="2"/>
  <c r="I76" i="2"/>
  <c r="J76" i="2" s="1"/>
  <c r="I17" i="2"/>
  <c r="J17" i="2" s="1"/>
  <c r="K17" i="2"/>
  <c r="K84" i="2"/>
  <c r="I84" i="2"/>
  <c r="J84" i="2" s="1"/>
  <c r="K31" i="2"/>
  <c r="I31" i="2"/>
  <c r="J31" i="2" s="1"/>
  <c r="K88" i="2"/>
  <c r="I88" i="2"/>
  <c r="J88" i="2" s="1"/>
  <c r="K56" i="2"/>
  <c r="I56" i="2"/>
  <c r="J56" i="2" s="1"/>
  <c r="K53" i="2"/>
  <c r="I53" i="2"/>
  <c r="J53" i="2" s="1"/>
  <c r="K43" i="2"/>
  <c r="I43" i="2"/>
  <c r="J43" i="2" s="1"/>
  <c r="K45" i="2"/>
  <c r="I45" i="2"/>
  <c r="J45" i="2" s="1"/>
  <c r="K18" i="2"/>
  <c r="I18" i="2"/>
  <c r="J18" i="2" s="1"/>
  <c r="K72" i="2"/>
  <c r="I72" i="2"/>
  <c r="J72" i="2" s="1"/>
  <c r="K44" i="2"/>
  <c r="I44" i="2"/>
  <c r="J44" i="2" s="1"/>
  <c r="K29" i="2"/>
  <c r="I29" i="2"/>
  <c r="J29" i="2" s="1"/>
  <c r="I74" i="2"/>
  <c r="J74" i="2" s="1"/>
  <c r="K74" i="2"/>
  <c r="K63" i="2"/>
  <c r="I63" i="2"/>
  <c r="J63" i="2" s="1"/>
  <c r="K69" i="2"/>
  <c r="I69" i="2"/>
  <c r="J69" i="2" s="1"/>
  <c r="K23" i="2"/>
  <c r="I23" i="2"/>
  <c r="J23" i="2" s="1"/>
  <c r="K46" i="2"/>
  <c r="I46" i="2"/>
  <c r="J46" i="2" s="1"/>
  <c r="K70" i="2"/>
  <c r="I70" i="2"/>
  <c r="J70" i="2" s="1"/>
  <c r="K67" i="2"/>
  <c r="I67" i="2"/>
  <c r="J67" i="2" s="1"/>
  <c r="V16" i="7" l="1"/>
  <c r="W15" i="7"/>
  <c r="AB15" i="7" s="1"/>
  <c r="J83" i="7"/>
  <c r="J85" i="7" s="1"/>
  <c r="J86" i="7" s="1"/>
  <c r="J83" i="6"/>
  <c r="J85" i="6" s="1"/>
  <c r="J86" i="6" s="1"/>
  <c r="V16" i="6"/>
  <c r="W15" i="6"/>
  <c r="Z15" i="6" s="1"/>
  <c r="V15" i="5"/>
  <c r="W14" i="5"/>
  <c r="J85" i="5"/>
  <c r="J87" i="5" s="1"/>
  <c r="J88" i="5" s="1"/>
  <c r="X14" i="4"/>
  <c r="Y13" i="4"/>
  <c r="AB13" i="4" s="1"/>
  <c r="J86" i="4"/>
  <c r="J87" i="4" s="1"/>
  <c r="W16" i="3"/>
  <c r="X15" i="3"/>
  <c r="AB15" i="3" s="1"/>
  <c r="L91" i="3"/>
  <c r="L93" i="3" s="1"/>
  <c r="L94" i="3" s="1"/>
  <c r="U15" i="2"/>
  <c r="V14" i="2"/>
  <c r="Z14" i="2" s="1"/>
  <c r="J91" i="2"/>
  <c r="J93" i="2" s="1"/>
  <c r="J94" i="2" s="1"/>
  <c r="V17" i="7" l="1"/>
  <c r="W16" i="7"/>
  <c r="AB16" i="7" s="1"/>
  <c r="W16" i="6"/>
  <c r="Z16" i="6" s="1"/>
  <c r="V17" i="6"/>
  <c r="AA14" i="5"/>
  <c r="V16" i="5"/>
  <c r="W15" i="5"/>
  <c r="AA15" i="5" s="1"/>
  <c r="Y14" i="4"/>
  <c r="AB14" i="4" s="1"/>
  <c r="X15" i="4"/>
  <c r="X16" i="3"/>
  <c r="AB16" i="3" s="1"/>
  <c r="W17" i="3"/>
  <c r="U16" i="2"/>
  <c r="V15" i="2"/>
  <c r="Z15" i="2" s="1"/>
  <c r="V18" i="7" l="1"/>
  <c r="W17" i="7"/>
  <c r="AB17" i="7" s="1"/>
  <c r="V18" i="6"/>
  <c r="W17" i="6"/>
  <c r="Z17" i="6" s="1"/>
  <c r="V17" i="5"/>
  <c r="W16" i="5"/>
  <c r="Y15" i="4"/>
  <c r="AB15" i="4" s="1"/>
  <c r="X16" i="4"/>
  <c r="W18" i="3"/>
  <c r="X17" i="3"/>
  <c r="AB17" i="3" s="1"/>
  <c r="V16" i="2"/>
  <c r="Z16" i="2" s="1"/>
  <c r="U17" i="2"/>
  <c r="V19" i="7" l="1"/>
  <c r="W18" i="7"/>
  <c r="AB18" i="7" s="1"/>
  <c r="W18" i="6"/>
  <c r="Z18" i="6" s="1"/>
  <c r="V19" i="6"/>
  <c r="AA16" i="5"/>
  <c r="W17" i="5"/>
  <c r="AA17" i="5" s="1"/>
  <c r="V18" i="5"/>
  <c r="X17" i="4"/>
  <c r="Y16" i="4"/>
  <c r="AB16" i="4" s="1"/>
  <c r="X18" i="3"/>
  <c r="AB18" i="3" s="1"/>
  <c r="W19" i="3"/>
  <c r="U18" i="2"/>
  <c r="V17" i="2"/>
  <c r="Z17" i="2" s="1"/>
  <c r="W19" i="7" l="1"/>
  <c r="AB19" i="7" s="1"/>
  <c r="V20" i="7"/>
  <c r="V20" i="6"/>
  <c r="W19" i="6"/>
  <c r="Z19" i="6" s="1"/>
  <c r="V19" i="5"/>
  <c r="W18" i="5"/>
  <c r="X18" i="4"/>
  <c r="Y17" i="4"/>
  <c r="AB17" i="4" s="1"/>
  <c r="W20" i="3"/>
  <c r="X19" i="3"/>
  <c r="AB19" i="3" s="1"/>
  <c r="U19" i="2"/>
  <c r="V18" i="2"/>
  <c r="Z18" i="2" s="1"/>
  <c r="W20" i="7" l="1"/>
  <c r="AB20" i="7" s="1"/>
  <c r="V21" i="7"/>
  <c r="W20" i="6"/>
  <c r="Z20" i="6" s="1"/>
  <c r="V21" i="6"/>
  <c r="W19" i="5"/>
  <c r="AA19" i="5" s="1"/>
  <c r="V20" i="5"/>
  <c r="AA18" i="5"/>
  <c r="Y18" i="4"/>
  <c r="AB18" i="4" s="1"/>
  <c r="X19" i="4"/>
  <c r="W21" i="3"/>
  <c r="X20" i="3"/>
  <c r="AB20" i="3" s="1"/>
  <c r="V19" i="2"/>
  <c r="Z19" i="2" s="1"/>
  <c r="U20" i="2"/>
  <c r="W21" i="7" l="1"/>
  <c r="AB21" i="7" s="1"/>
  <c r="V22" i="7"/>
  <c r="W21" i="6"/>
  <c r="Z21" i="6" s="1"/>
  <c r="V22" i="6"/>
  <c r="V21" i="5"/>
  <c r="W20" i="5"/>
  <c r="Y19" i="4"/>
  <c r="AB19" i="4" s="1"/>
  <c r="X20" i="4"/>
  <c r="W22" i="3"/>
  <c r="X21" i="3"/>
  <c r="AB21" i="3" s="1"/>
  <c r="U21" i="2"/>
  <c r="V20" i="2"/>
  <c r="Z20" i="2" s="1"/>
  <c r="V23" i="7" l="1"/>
  <c r="W22" i="7"/>
  <c r="AB22" i="7" s="1"/>
  <c r="V23" i="6"/>
  <c r="W22" i="6"/>
  <c r="Z22" i="6" s="1"/>
  <c r="AA20" i="5"/>
  <c r="W21" i="5"/>
  <c r="AA21" i="5" s="1"/>
  <c r="V22" i="5"/>
  <c r="X21" i="4"/>
  <c r="Y20" i="4"/>
  <c r="AB20" i="4" s="1"/>
  <c r="W23" i="3"/>
  <c r="X22" i="3"/>
  <c r="AB22" i="3" s="1"/>
  <c r="V21" i="2"/>
  <c r="Z21" i="2" s="1"/>
  <c r="U22" i="2"/>
  <c r="V24" i="7" l="1"/>
  <c r="W23" i="7"/>
  <c r="W23" i="6"/>
  <c r="Z23" i="6" s="1"/>
  <c r="V24" i="6"/>
  <c r="W22" i="5"/>
  <c r="AA22" i="5" s="1"/>
  <c r="V23" i="5"/>
  <c r="X22" i="4"/>
  <c r="Y21" i="4"/>
  <c r="AB21" i="4" s="1"/>
  <c r="W24" i="3"/>
  <c r="X23" i="3"/>
  <c r="AB23" i="3" s="1"/>
  <c r="V22" i="2"/>
  <c r="Z22" i="2" s="1"/>
  <c r="U23" i="2"/>
  <c r="AB23" i="7" l="1"/>
  <c r="X24" i="7"/>
  <c r="V25" i="7"/>
  <c r="W24" i="7"/>
  <c r="AB24" i="7" s="1"/>
  <c r="W24" i="6"/>
  <c r="Z24" i="6" s="1"/>
  <c r="V25" i="6"/>
  <c r="W23" i="5"/>
  <c r="AA23" i="5" s="1"/>
  <c r="V24" i="5"/>
  <c r="Y22" i="4"/>
  <c r="AB22" i="4" s="1"/>
  <c r="X23" i="4"/>
  <c r="X24" i="3"/>
  <c r="AB24" i="3" s="1"/>
  <c r="W25" i="3"/>
  <c r="U24" i="2"/>
  <c r="V23" i="2"/>
  <c r="Z23" i="2" s="1"/>
  <c r="W25" i="7" l="1"/>
  <c r="AB25" i="7" s="1"/>
  <c r="V26" i="7"/>
  <c r="V26" i="6"/>
  <c r="W25" i="6"/>
  <c r="Z25" i="6" s="1"/>
  <c r="W24" i="5"/>
  <c r="V25" i="5"/>
  <c r="X24" i="4"/>
  <c r="Y23" i="4"/>
  <c r="AB23" i="4" s="1"/>
  <c r="W26" i="3"/>
  <c r="X25" i="3"/>
  <c r="AB25" i="3" s="1"/>
  <c r="V24" i="2"/>
  <c r="Z24" i="2" s="1"/>
  <c r="U25" i="2"/>
  <c r="W26" i="7" l="1"/>
  <c r="AB26" i="7" s="1"/>
  <c r="V27" i="7"/>
  <c r="W26" i="6"/>
  <c r="Z26" i="6" s="1"/>
  <c r="V27" i="6"/>
  <c r="AA24" i="5"/>
  <c r="W25" i="5"/>
  <c r="AA25" i="5" s="1"/>
  <c r="V26" i="5"/>
  <c r="Y24" i="4"/>
  <c r="AB24" i="4" s="1"/>
  <c r="X25" i="4"/>
  <c r="X26" i="3"/>
  <c r="AB26" i="3" s="1"/>
  <c r="W27" i="3"/>
  <c r="U26" i="2"/>
  <c r="V25" i="2"/>
  <c r="Z25" i="2" s="1"/>
  <c r="V28" i="7" l="1"/>
  <c r="W27" i="7"/>
  <c r="AB27" i="7" s="1"/>
  <c r="W27" i="6"/>
  <c r="Z27" i="6" s="1"/>
  <c r="V28" i="6"/>
  <c r="W26" i="5"/>
  <c r="AA26" i="5" s="1"/>
  <c r="V27" i="5"/>
  <c r="X25" i="5"/>
  <c r="X26" i="4"/>
  <c r="Y25" i="4"/>
  <c r="AB25" i="4" s="1"/>
  <c r="W28" i="3"/>
  <c r="X27" i="3"/>
  <c r="AB27" i="3" s="1"/>
  <c r="U27" i="2"/>
  <c r="V26" i="2"/>
  <c r="Z26" i="2" s="1"/>
  <c r="V29" i="7" l="1"/>
  <c r="W28" i="7"/>
  <c r="AB28" i="7" s="1"/>
  <c r="V29" i="6"/>
  <c r="W28" i="6"/>
  <c r="Z28" i="6" s="1"/>
  <c r="V28" i="5"/>
  <c r="W27" i="5"/>
  <c r="AA27" i="5" s="1"/>
  <c r="Y26" i="4"/>
  <c r="AB26" i="4" s="1"/>
  <c r="X27" i="4"/>
  <c r="X28" i="3"/>
  <c r="AB28" i="3" s="1"/>
  <c r="W29" i="3"/>
  <c r="V27" i="2"/>
  <c r="Z27" i="2" s="1"/>
  <c r="U28" i="2"/>
  <c r="W29" i="7" l="1"/>
  <c r="AB29" i="7" s="1"/>
  <c r="V30" i="7"/>
  <c r="V30" i="6"/>
  <c r="W29" i="6"/>
  <c r="Z29" i="6" s="1"/>
  <c r="W28" i="5"/>
  <c r="AA28" i="5" s="1"/>
  <c r="V29" i="5"/>
  <c r="X28" i="4"/>
  <c r="Y27" i="4"/>
  <c r="AB27" i="4" s="1"/>
  <c r="W30" i="3"/>
  <c r="X29" i="3"/>
  <c r="U29" i="2"/>
  <c r="V28" i="2"/>
  <c r="Z28" i="2" s="1"/>
  <c r="W30" i="7" l="1"/>
  <c r="AB30" i="7" s="1"/>
  <c r="V31" i="7"/>
  <c r="W30" i="6"/>
  <c r="Z30" i="6" s="1"/>
  <c r="V31" i="6"/>
  <c r="V30" i="5"/>
  <c r="W29" i="5"/>
  <c r="AA29" i="5" s="1"/>
  <c r="Y28" i="4"/>
  <c r="AB28" i="4" s="1"/>
  <c r="X29" i="4"/>
  <c r="AB29" i="3"/>
  <c r="Y30" i="3"/>
  <c r="X30" i="3"/>
  <c r="AB30" i="3" s="1"/>
  <c r="W31" i="3"/>
  <c r="V29" i="2"/>
  <c r="Z29" i="2" s="1"/>
  <c r="U30" i="2"/>
  <c r="V32" i="7" l="1"/>
  <c r="W31" i="7"/>
  <c r="AB31" i="7" s="1"/>
  <c r="W31" i="6"/>
  <c r="Z31" i="6" s="1"/>
  <c r="V32" i="6"/>
  <c r="W30" i="5"/>
  <c r="AA30" i="5" s="1"/>
  <c r="V31" i="5"/>
  <c r="X30" i="4"/>
  <c r="Y29" i="4"/>
  <c r="AB29" i="4" s="1"/>
  <c r="W32" i="3"/>
  <c r="X31" i="3"/>
  <c r="AB31" i="3" s="1"/>
  <c r="U31" i="2"/>
  <c r="V30" i="2"/>
  <c r="Z30" i="2" s="1"/>
  <c r="V33" i="7" l="1"/>
  <c r="W32" i="7"/>
  <c r="AB32" i="7" s="1"/>
  <c r="W32" i="6"/>
  <c r="Z32" i="6" s="1"/>
  <c r="V33" i="6"/>
  <c r="V32" i="5"/>
  <c r="W31" i="5"/>
  <c r="AA31" i="5" s="1"/>
  <c r="X31" i="4"/>
  <c r="Y30" i="4"/>
  <c r="AB30" i="4" s="1"/>
  <c r="W33" i="3"/>
  <c r="X32" i="3"/>
  <c r="AB32" i="3" s="1"/>
  <c r="U32" i="2"/>
  <c r="V31" i="2"/>
  <c r="Z31" i="2" s="1"/>
  <c r="W33" i="7" l="1"/>
  <c r="AB33" i="7" s="1"/>
  <c r="V34" i="7"/>
  <c r="W33" i="6"/>
  <c r="Z33" i="6" s="1"/>
  <c r="V34" i="6"/>
  <c r="W32" i="5"/>
  <c r="AA32" i="5" s="1"/>
  <c r="V33" i="5"/>
  <c r="X32" i="4"/>
  <c r="Y31" i="4"/>
  <c r="AB31" i="4" s="1"/>
  <c r="W34" i="3"/>
  <c r="X33" i="3"/>
  <c r="AB33" i="3" s="1"/>
  <c r="U33" i="2"/>
  <c r="V32" i="2"/>
  <c r="Z32" i="2" s="1"/>
  <c r="W34" i="7" l="1"/>
  <c r="AB34" i="7" s="1"/>
  <c r="V35" i="7"/>
  <c r="W34" i="6"/>
  <c r="Z34" i="6" s="1"/>
  <c r="V35" i="6"/>
  <c r="V34" i="5"/>
  <c r="W33" i="5"/>
  <c r="AA33" i="5" s="1"/>
  <c r="Y32" i="4"/>
  <c r="AB32" i="4" s="1"/>
  <c r="X33" i="4"/>
  <c r="W35" i="3"/>
  <c r="X34" i="3"/>
  <c r="AB34" i="3" s="1"/>
  <c r="V33" i="2"/>
  <c r="Z33" i="2" s="1"/>
  <c r="U34" i="2"/>
  <c r="V36" i="7" l="1"/>
  <c r="W35" i="7"/>
  <c r="AB35" i="7" s="1"/>
  <c r="V36" i="6"/>
  <c r="W35" i="6"/>
  <c r="Z35" i="6" s="1"/>
  <c r="W34" i="5"/>
  <c r="AA34" i="5" s="1"/>
  <c r="V35" i="5"/>
  <c r="X34" i="4"/>
  <c r="Y33" i="4"/>
  <c r="AB33" i="4" s="1"/>
  <c r="W36" i="3"/>
  <c r="X35" i="3"/>
  <c r="AB35" i="3" s="1"/>
  <c r="U35" i="2"/>
  <c r="V34" i="2"/>
  <c r="Z34" i="2" s="1"/>
  <c r="V37" i="7" l="1"/>
  <c r="W36" i="7"/>
  <c r="AB36" i="7" s="1"/>
  <c r="V37" i="6"/>
  <c r="W36" i="6"/>
  <c r="Z36" i="6" s="1"/>
  <c r="V36" i="5"/>
  <c r="W35" i="5"/>
  <c r="AA35" i="5" s="1"/>
  <c r="X35" i="4"/>
  <c r="Y34" i="4"/>
  <c r="AB34" i="4" s="1"/>
  <c r="X36" i="3"/>
  <c r="AB36" i="3" s="1"/>
  <c r="W37" i="3"/>
  <c r="V35" i="2"/>
  <c r="Z35" i="2" s="1"/>
  <c r="U36" i="2"/>
  <c r="W37" i="7" l="1"/>
  <c r="AB37" i="7" s="1"/>
  <c r="V38" i="7"/>
  <c r="W37" i="6"/>
  <c r="Z37" i="6" s="1"/>
  <c r="V38" i="6"/>
  <c r="W36" i="5"/>
  <c r="AA36" i="5" s="1"/>
  <c r="V37" i="5"/>
  <c r="Y35" i="4"/>
  <c r="AB35" i="4" s="1"/>
  <c r="X36" i="4"/>
  <c r="W38" i="3"/>
  <c r="X37" i="3"/>
  <c r="AB37" i="3" s="1"/>
  <c r="U37" i="2"/>
  <c r="V36" i="2"/>
  <c r="Z36" i="2" s="1"/>
  <c r="W38" i="7" l="1"/>
  <c r="AB38" i="7" s="1"/>
  <c r="V39" i="7"/>
  <c r="V39" i="6"/>
  <c r="W38" i="6"/>
  <c r="Z38" i="6" s="1"/>
  <c r="V38" i="5"/>
  <c r="W37" i="5"/>
  <c r="AA37" i="5" s="1"/>
  <c r="X37" i="4"/>
  <c r="Y36" i="4"/>
  <c r="X38" i="3"/>
  <c r="AB38" i="3" s="1"/>
  <c r="W39" i="3"/>
  <c r="U38" i="2"/>
  <c r="V37" i="2"/>
  <c r="Z37" i="2" s="1"/>
  <c r="W39" i="7" l="1"/>
  <c r="AB39" i="7" s="1"/>
  <c r="V40" i="7"/>
  <c r="W39" i="6"/>
  <c r="Z39" i="6" s="1"/>
  <c r="V40" i="6"/>
  <c r="W38" i="5"/>
  <c r="V39" i="5"/>
  <c r="Z37" i="4"/>
  <c r="AB36" i="4"/>
  <c r="X38" i="4"/>
  <c r="Y37" i="4"/>
  <c r="AB37" i="4" s="1"/>
  <c r="W40" i="3"/>
  <c r="X39" i="3"/>
  <c r="AB39" i="3" s="1"/>
  <c r="V38" i="2"/>
  <c r="Z38" i="2" s="1"/>
  <c r="U39" i="2"/>
  <c r="V41" i="7" l="1"/>
  <c r="W40" i="7"/>
  <c r="AB40" i="7" s="1"/>
  <c r="V41" i="6"/>
  <c r="W40" i="6"/>
  <c r="X39" i="5"/>
  <c r="AA38" i="5"/>
  <c r="V40" i="5"/>
  <c r="W39" i="5"/>
  <c r="AA39" i="5" s="1"/>
  <c r="X39" i="4"/>
  <c r="Y38" i="4"/>
  <c r="AB38" i="4" s="1"/>
  <c r="W41" i="3"/>
  <c r="X40" i="3"/>
  <c r="AB40" i="3" s="1"/>
  <c r="U40" i="2"/>
  <c r="V39" i="2"/>
  <c r="Z39" i="2" s="1"/>
  <c r="V42" i="7" l="1"/>
  <c r="W41" i="7"/>
  <c r="AB41" i="7" s="1"/>
  <c r="X41" i="6"/>
  <c r="Z40" i="6"/>
  <c r="V42" i="6"/>
  <c r="W41" i="6"/>
  <c r="Z41" i="6" s="1"/>
  <c r="V41" i="5"/>
  <c r="W40" i="5"/>
  <c r="AA40" i="5" s="1"/>
  <c r="X40" i="4"/>
  <c r="Y39" i="4"/>
  <c r="AB39" i="4" s="1"/>
  <c r="W42" i="3"/>
  <c r="X41" i="3"/>
  <c r="AB41" i="3" s="1"/>
  <c r="U41" i="2"/>
  <c r="V40" i="2"/>
  <c r="W42" i="7" l="1"/>
  <c r="AB42" i="7" s="1"/>
  <c r="V43" i="7"/>
  <c r="V43" i="6"/>
  <c r="W42" i="6"/>
  <c r="Z42" i="6" s="1"/>
  <c r="V42" i="5"/>
  <c r="W41" i="5"/>
  <c r="AA41" i="5" s="1"/>
  <c r="X41" i="4"/>
  <c r="Y40" i="4"/>
  <c r="AB40" i="4" s="1"/>
  <c r="X42" i="3"/>
  <c r="AB42" i="3" s="1"/>
  <c r="W43" i="3"/>
  <c r="Z40" i="2"/>
  <c r="V41" i="2"/>
  <c r="Z41" i="2" s="1"/>
  <c r="U42" i="2"/>
  <c r="W43" i="7" l="1"/>
  <c r="AB43" i="7" s="1"/>
  <c r="V44" i="7"/>
  <c r="V44" i="6"/>
  <c r="W43" i="6"/>
  <c r="Z43" i="6" s="1"/>
  <c r="V43" i="5"/>
  <c r="W42" i="5"/>
  <c r="AA42" i="5" s="1"/>
  <c r="X42" i="4"/>
  <c r="Y41" i="4"/>
  <c r="AB41" i="4" s="1"/>
  <c r="W44" i="3"/>
  <c r="X43" i="3"/>
  <c r="AB43" i="3" s="1"/>
  <c r="U43" i="2"/>
  <c r="V42" i="2"/>
  <c r="Z42" i="2" s="1"/>
  <c r="W41" i="2"/>
  <c r="V45" i="7" l="1"/>
  <c r="W44" i="7"/>
  <c r="AB44" i="7" s="1"/>
  <c r="V45" i="6"/>
  <c r="W44" i="6"/>
  <c r="Z44" i="6" s="1"/>
  <c r="V44" i="5"/>
  <c r="W43" i="5"/>
  <c r="AA43" i="5" s="1"/>
  <c r="X43" i="4"/>
  <c r="Y42" i="4"/>
  <c r="AB42" i="4" s="1"/>
  <c r="X44" i="3"/>
  <c r="AB44" i="3" s="1"/>
  <c r="W45" i="3"/>
  <c r="U44" i="2"/>
  <c r="V43" i="2"/>
  <c r="Z43" i="2" s="1"/>
  <c r="V46" i="7" l="1"/>
  <c r="W45" i="7"/>
  <c r="AB45" i="7" s="1"/>
  <c r="V46" i="6"/>
  <c r="W45" i="6"/>
  <c r="Z45" i="6" s="1"/>
  <c r="V45" i="5"/>
  <c r="W44" i="5"/>
  <c r="AA44" i="5" s="1"/>
  <c r="X44" i="4"/>
  <c r="Y43" i="4"/>
  <c r="AB43" i="4" s="1"/>
  <c r="W46" i="3"/>
  <c r="X45" i="3"/>
  <c r="V44" i="2"/>
  <c r="Z44" i="2" s="1"/>
  <c r="U45" i="2"/>
  <c r="V47" i="7" l="1"/>
  <c r="W46" i="7"/>
  <c r="AB46" i="7" s="1"/>
  <c r="V47" i="6"/>
  <c r="W46" i="6"/>
  <c r="Z46" i="6" s="1"/>
  <c r="W45" i="5"/>
  <c r="AA45" i="5" s="1"/>
  <c r="V46" i="5"/>
  <c r="X45" i="4"/>
  <c r="Y44" i="4"/>
  <c r="AB44" i="4" s="1"/>
  <c r="X46" i="3"/>
  <c r="AB46" i="3" s="1"/>
  <c r="W47" i="3"/>
  <c r="AB45" i="3"/>
  <c r="U46" i="2"/>
  <c r="V45" i="2"/>
  <c r="Z45" i="2" s="1"/>
  <c r="W47" i="7" l="1"/>
  <c r="V48" i="7"/>
  <c r="V48" i="6"/>
  <c r="W47" i="6"/>
  <c r="Z47" i="6" s="1"/>
  <c r="V47" i="5"/>
  <c r="W46" i="5"/>
  <c r="AA46" i="5" s="1"/>
  <c r="X46" i="4"/>
  <c r="Y45" i="4"/>
  <c r="AB45" i="4" s="1"/>
  <c r="Y46" i="3"/>
  <c r="W48" i="3"/>
  <c r="X47" i="3"/>
  <c r="AB47" i="3" s="1"/>
  <c r="V46" i="2"/>
  <c r="Z46" i="2" s="1"/>
  <c r="U47" i="2"/>
  <c r="AB47" i="7" l="1"/>
  <c r="W48" i="7"/>
  <c r="AB48" i="7" s="1"/>
  <c r="V49" i="7"/>
  <c r="V49" i="6"/>
  <c r="W48" i="6"/>
  <c r="Z48" i="6" s="1"/>
  <c r="V48" i="5"/>
  <c r="W47" i="5"/>
  <c r="AA47" i="5" s="1"/>
  <c r="X47" i="4"/>
  <c r="Y46" i="4"/>
  <c r="X48" i="3"/>
  <c r="AB48" i="3" s="1"/>
  <c r="W49" i="3"/>
  <c r="V47" i="2"/>
  <c r="Z47" i="2" s="1"/>
  <c r="U48" i="2"/>
  <c r="W49" i="7" l="1"/>
  <c r="AB49" i="7" s="1"/>
  <c r="V50" i="7"/>
  <c r="X48" i="7"/>
  <c r="V50" i="6"/>
  <c r="W49" i="6"/>
  <c r="Z49" i="6" s="1"/>
  <c r="V49" i="5"/>
  <c r="W48" i="5"/>
  <c r="AA48" i="5" s="1"/>
  <c r="Z47" i="4"/>
  <c r="AB46" i="4"/>
  <c r="X48" i="4"/>
  <c r="Y47" i="4"/>
  <c r="AB47" i="4" s="1"/>
  <c r="W50" i="3"/>
  <c r="X49" i="3"/>
  <c r="AB49" i="3" s="1"/>
  <c r="U49" i="2"/>
  <c r="V48" i="2"/>
  <c r="Z48" i="2" s="1"/>
  <c r="W50" i="7" l="1"/>
  <c r="AB50" i="7" s="1"/>
  <c r="V51" i="7"/>
  <c r="V51" i="6"/>
  <c r="W50" i="6"/>
  <c r="Z50" i="6" s="1"/>
  <c r="W49" i="5"/>
  <c r="AA49" i="5" s="1"/>
  <c r="V50" i="5"/>
  <c r="X49" i="4"/>
  <c r="Y48" i="4"/>
  <c r="AB48" i="4" s="1"/>
  <c r="X50" i="3"/>
  <c r="AB50" i="3" s="1"/>
  <c r="W51" i="3"/>
  <c r="V49" i="2"/>
  <c r="Z49" i="2" s="1"/>
  <c r="U50" i="2"/>
  <c r="V52" i="7" l="1"/>
  <c r="W51" i="7"/>
  <c r="AB51" i="7" s="1"/>
  <c r="V52" i="6"/>
  <c r="W51" i="6"/>
  <c r="Z51" i="6" s="1"/>
  <c r="V51" i="5"/>
  <c r="W50" i="5"/>
  <c r="AA50" i="5" s="1"/>
  <c r="X50" i="4"/>
  <c r="Y49" i="4"/>
  <c r="AB49" i="4" s="1"/>
  <c r="W52" i="3"/>
  <c r="X51" i="3"/>
  <c r="AB51" i="3" s="1"/>
  <c r="U51" i="2"/>
  <c r="V50" i="2"/>
  <c r="Z50" i="2" s="1"/>
  <c r="W52" i="7" l="1"/>
  <c r="AB52" i="7" s="1"/>
  <c r="V53" i="7"/>
  <c r="V53" i="6"/>
  <c r="W52" i="6"/>
  <c r="Z52" i="6" s="1"/>
  <c r="V52" i="5"/>
  <c r="W51" i="5"/>
  <c r="AA51" i="5" s="1"/>
  <c r="X51" i="4"/>
  <c r="Y50" i="4"/>
  <c r="AB50" i="4" s="1"/>
  <c r="W53" i="3"/>
  <c r="X52" i="3"/>
  <c r="AB52" i="3" s="1"/>
  <c r="V51" i="2"/>
  <c r="Z51" i="2" s="1"/>
  <c r="U52" i="2"/>
  <c r="W53" i="7" l="1"/>
  <c r="AB53" i="7" s="1"/>
  <c r="V54" i="7"/>
  <c r="V54" i="6"/>
  <c r="W53" i="6"/>
  <c r="Z53" i="6" s="1"/>
  <c r="V53" i="5"/>
  <c r="W52" i="5"/>
  <c r="AA52" i="5" s="1"/>
  <c r="X52" i="4"/>
  <c r="Y51" i="4"/>
  <c r="AB51" i="4" s="1"/>
  <c r="W54" i="3"/>
  <c r="X53" i="3"/>
  <c r="AB53" i="3" s="1"/>
  <c r="U53" i="2"/>
  <c r="V52" i="2"/>
  <c r="V55" i="7" l="1"/>
  <c r="W54" i="7"/>
  <c r="AB54" i="7" s="1"/>
  <c r="V55" i="6"/>
  <c r="W54" i="6"/>
  <c r="Z54" i="6" s="1"/>
  <c r="V54" i="5"/>
  <c r="W53" i="5"/>
  <c r="AA53" i="5" s="1"/>
  <c r="X53" i="4"/>
  <c r="Y52" i="4"/>
  <c r="AB52" i="4" s="1"/>
  <c r="W55" i="3"/>
  <c r="X54" i="3"/>
  <c r="AB54" i="3" s="1"/>
  <c r="Z52" i="2"/>
  <c r="V53" i="2"/>
  <c r="Z53" i="2" s="1"/>
  <c r="U54" i="2"/>
  <c r="W55" i="7" l="1"/>
  <c r="AB55" i="7" s="1"/>
  <c r="V56" i="7"/>
  <c r="V56" i="6"/>
  <c r="W55" i="6"/>
  <c r="V55" i="5"/>
  <c r="W54" i="5"/>
  <c r="AA54" i="5" s="1"/>
  <c r="X54" i="4"/>
  <c r="Y53" i="4"/>
  <c r="AB53" i="4" s="1"/>
  <c r="W56" i="3"/>
  <c r="X55" i="3"/>
  <c r="AB55" i="3" s="1"/>
  <c r="V54" i="2"/>
  <c r="Z54" i="2" s="1"/>
  <c r="U55" i="2"/>
  <c r="W53" i="2"/>
  <c r="V57" i="7" l="1"/>
  <c r="W56" i="7"/>
  <c r="AB56" i="7" s="1"/>
  <c r="X56" i="6"/>
  <c r="Z55" i="6"/>
  <c r="W56" i="6"/>
  <c r="Z56" i="6" s="1"/>
  <c r="V57" i="6"/>
  <c r="V56" i="5"/>
  <c r="W55" i="5"/>
  <c r="AA55" i="5" s="1"/>
  <c r="Y54" i="4"/>
  <c r="AB54" i="4" s="1"/>
  <c r="X55" i="4"/>
  <c r="W57" i="3"/>
  <c r="X56" i="3"/>
  <c r="AB56" i="3" s="1"/>
  <c r="U56" i="2"/>
  <c r="V55" i="2"/>
  <c r="Z55" i="2" s="1"/>
  <c r="W57" i="7" l="1"/>
  <c r="AB57" i="7" s="1"/>
  <c r="V58" i="7"/>
  <c r="V58" i="6"/>
  <c r="W57" i="6"/>
  <c r="Z57" i="6" s="1"/>
  <c r="V57" i="5"/>
  <c r="W56" i="5"/>
  <c r="AA56" i="5" s="1"/>
  <c r="X56" i="4"/>
  <c r="Y55" i="4"/>
  <c r="AB55" i="4" s="1"/>
  <c r="W58" i="3"/>
  <c r="X57" i="3"/>
  <c r="AB57" i="3" s="1"/>
  <c r="V56" i="2"/>
  <c r="Z56" i="2" s="1"/>
  <c r="U57" i="2"/>
  <c r="V59" i="7" l="1"/>
  <c r="W58" i="7"/>
  <c r="W58" i="6"/>
  <c r="Z58" i="6" s="1"/>
  <c r="V59" i="6"/>
  <c r="W57" i="5"/>
  <c r="AA57" i="5" s="1"/>
  <c r="V58" i="5"/>
  <c r="Y56" i="4"/>
  <c r="AB56" i="4" s="1"/>
  <c r="X57" i="4"/>
  <c r="W59" i="3"/>
  <c r="X58" i="3"/>
  <c r="AB58" i="3" s="1"/>
  <c r="U58" i="2"/>
  <c r="V57" i="2"/>
  <c r="Z57" i="2" s="1"/>
  <c r="AB58" i="7" l="1"/>
  <c r="W59" i="7"/>
  <c r="AB59" i="7" s="1"/>
  <c r="V60" i="7"/>
  <c r="W59" i="6"/>
  <c r="Z59" i="6" s="1"/>
  <c r="V60" i="6"/>
  <c r="V59" i="5"/>
  <c r="W58" i="5"/>
  <c r="Y57" i="4"/>
  <c r="AB57" i="4" s="1"/>
  <c r="X58" i="4"/>
  <c r="W60" i="3"/>
  <c r="X59" i="3"/>
  <c r="AB59" i="3" s="1"/>
  <c r="V58" i="2"/>
  <c r="Z58" i="2" s="1"/>
  <c r="U59" i="2"/>
  <c r="V61" i="7" l="1"/>
  <c r="W60" i="7"/>
  <c r="AB60" i="7" s="1"/>
  <c r="X59" i="7"/>
  <c r="V61" i="6"/>
  <c r="W60" i="6"/>
  <c r="Z60" i="6" s="1"/>
  <c r="AA58" i="5"/>
  <c r="V60" i="5"/>
  <c r="W59" i="5"/>
  <c r="AA59" i="5" s="1"/>
  <c r="Y58" i="4"/>
  <c r="AB58" i="4" s="1"/>
  <c r="X59" i="4"/>
  <c r="W61" i="3"/>
  <c r="X60" i="3"/>
  <c r="AB60" i="3" s="1"/>
  <c r="V59" i="2"/>
  <c r="Z59" i="2" s="1"/>
  <c r="U60" i="2"/>
  <c r="V62" i="7" l="1"/>
  <c r="W61" i="7"/>
  <c r="AB61" i="7" s="1"/>
  <c r="W61" i="6"/>
  <c r="Z61" i="6" s="1"/>
  <c r="V62" i="6"/>
  <c r="W60" i="5"/>
  <c r="AA60" i="5" s="1"/>
  <c r="V61" i="5"/>
  <c r="X59" i="5"/>
  <c r="X60" i="4"/>
  <c r="Y59" i="4"/>
  <c r="W62" i="3"/>
  <c r="X61" i="3"/>
  <c r="AB61" i="3" s="1"/>
  <c r="U61" i="2"/>
  <c r="V60" i="2"/>
  <c r="Z60" i="2" s="1"/>
  <c r="V63" i="7" l="1"/>
  <c r="W62" i="7"/>
  <c r="AB62" i="7" s="1"/>
  <c r="W62" i="6"/>
  <c r="Z62" i="6" s="1"/>
  <c r="V63" i="6"/>
  <c r="V62" i="5"/>
  <c r="W61" i="5"/>
  <c r="AA61" i="5" s="1"/>
  <c r="AB59" i="4"/>
  <c r="Y60" i="4"/>
  <c r="AB60" i="4" s="1"/>
  <c r="X61" i="4"/>
  <c r="W63" i="3"/>
  <c r="X62" i="3"/>
  <c r="AB62" i="3" s="1"/>
  <c r="V61" i="2"/>
  <c r="Z61" i="2" s="1"/>
  <c r="U62" i="2"/>
  <c r="V64" i="7" l="1"/>
  <c r="W63" i="7"/>
  <c r="AB63" i="7" s="1"/>
  <c r="V64" i="6"/>
  <c r="W63" i="6"/>
  <c r="Z63" i="6" s="1"/>
  <c r="W62" i="5"/>
  <c r="AA62" i="5" s="1"/>
  <c r="V63" i="5"/>
  <c r="Y61" i="4"/>
  <c r="AB61" i="4" s="1"/>
  <c r="X62" i="4"/>
  <c r="Z60" i="4"/>
  <c r="W64" i="3"/>
  <c r="X63" i="3"/>
  <c r="AB63" i="3" s="1"/>
  <c r="V62" i="2"/>
  <c r="Z62" i="2" s="1"/>
  <c r="U63" i="2"/>
  <c r="V65" i="7" l="1"/>
  <c r="W64" i="7"/>
  <c r="AB64" i="7" s="1"/>
  <c r="W64" i="6"/>
  <c r="Z64" i="6" s="1"/>
  <c r="V65" i="6"/>
  <c r="V64" i="5"/>
  <c r="W63" i="5"/>
  <c r="AA63" i="5" s="1"/>
  <c r="Y62" i="4"/>
  <c r="AB62" i="4" s="1"/>
  <c r="X63" i="4"/>
  <c r="W65" i="3"/>
  <c r="X64" i="3"/>
  <c r="U64" i="2"/>
  <c r="V63" i="2"/>
  <c r="Z63" i="2" s="1"/>
  <c r="V66" i="7" l="1"/>
  <c r="W65" i="7"/>
  <c r="AB65" i="7" s="1"/>
  <c r="V66" i="6"/>
  <c r="W65" i="6"/>
  <c r="Z65" i="6" s="1"/>
  <c r="W64" i="5"/>
  <c r="AA64" i="5" s="1"/>
  <c r="V65" i="5"/>
  <c r="X64" i="4"/>
  <c r="Y63" i="4"/>
  <c r="AB63" i="4" s="1"/>
  <c r="Y65" i="3"/>
  <c r="AB64" i="3"/>
  <c r="X65" i="3"/>
  <c r="AB65" i="3" s="1"/>
  <c r="W66" i="3"/>
  <c r="V64" i="2"/>
  <c r="Z64" i="2" s="1"/>
  <c r="U65" i="2"/>
  <c r="V67" i="7" l="1"/>
  <c r="W66" i="7"/>
  <c r="AB66" i="7" s="1"/>
  <c r="V67" i="6"/>
  <c r="W66" i="6"/>
  <c r="Z66" i="6" s="1"/>
  <c r="V66" i="5"/>
  <c r="W65" i="5"/>
  <c r="AA65" i="5" s="1"/>
  <c r="X65" i="4"/>
  <c r="Y64" i="4"/>
  <c r="AB64" i="4" s="1"/>
  <c r="W67" i="3"/>
  <c r="X66" i="3"/>
  <c r="AB66" i="3" s="1"/>
  <c r="V65" i="2"/>
  <c r="Z65" i="2" s="1"/>
  <c r="U66" i="2"/>
  <c r="V68" i="7" l="1"/>
  <c r="W67" i="7"/>
  <c r="AB67" i="7" s="1"/>
  <c r="W67" i="6"/>
  <c r="Z67" i="6" s="1"/>
  <c r="V68" i="6"/>
  <c r="W66" i="5"/>
  <c r="AA66" i="5" s="1"/>
  <c r="V67" i="5"/>
  <c r="Y65" i="4"/>
  <c r="AB65" i="4" s="1"/>
  <c r="X66" i="4"/>
  <c r="X67" i="3"/>
  <c r="AB67" i="3" s="1"/>
  <c r="W68" i="3"/>
  <c r="U67" i="2"/>
  <c r="V66" i="2"/>
  <c r="V69" i="7" l="1"/>
  <c r="W68" i="7"/>
  <c r="V69" i="6"/>
  <c r="W68" i="6"/>
  <c r="Z68" i="6" s="1"/>
  <c r="V68" i="5"/>
  <c r="W67" i="5"/>
  <c r="AA67" i="5" s="1"/>
  <c r="Y66" i="4"/>
  <c r="AB66" i="4" s="1"/>
  <c r="X67" i="4"/>
  <c r="W69" i="3"/>
  <c r="X68" i="3"/>
  <c r="AB68" i="3" s="1"/>
  <c r="W67" i="2"/>
  <c r="Z66" i="2"/>
  <c r="V67" i="2"/>
  <c r="Z67" i="2" s="1"/>
  <c r="U68" i="2"/>
  <c r="W69" i="7" l="1"/>
  <c r="AB69" i="7" s="1"/>
  <c r="V70" i="7"/>
  <c r="AB68" i="7"/>
  <c r="X69" i="7"/>
  <c r="W69" i="6"/>
  <c r="Z69" i="6" s="1"/>
  <c r="V70" i="6"/>
  <c r="W68" i="5"/>
  <c r="AA68" i="5" s="1"/>
  <c r="V69" i="5"/>
  <c r="X68" i="4"/>
  <c r="Y67" i="4"/>
  <c r="AB67" i="4" s="1"/>
  <c r="W70" i="3"/>
  <c r="X69" i="3"/>
  <c r="AB69" i="3" s="1"/>
  <c r="V68" i="2"/>
  <c r="Z68" i="2" s="1"/>
  <c r="U69" i="2"/>
  <c r="W70" i="7" l="1"/>
  <c r="AB70" i="7" s="1"/>
  <c r="V71" i="7"/>
  <c r="W70" i="6"/>
  <c r="Z70" i="6" s="1"/>
  <c r="V71" i="6"/>
  <c r="V70" i="5"/>
  <c r="W69" i="5"/>
  <c r="AA69" i="5" s="1"/>
  <c r="X69" i="4"/>
  <c r="Y68" i="4"/>
  <c r="AB68" i="4" s="1"/>
  <c r="W71" i="3"/>
  <c r="X70" i="3"/>
  <c r="AB70" i="3" s="1"/>
  <c r="U70" i="2"/>
  <c r="V69" i="2"/>
  <c r="Z69" i="2" s="1"/>
  <c r="V72" i="7" l="1"/>
  <c r="W71" i="7"/>
  <c r="AB71" i="7" s="1"/>
  <c r="V72" i="6"/>
  <c r="W71" i="6"/>
  <c r="W70" i="5"/>
  <c r="AA70" i="5" s="1"/>
  <c r="V71" i="5"/>
  <c r="Y69" i="4"/>
  <c r="AB69" i="4" s="1"/>
  <c r="X70" i="4"/>
  <c r="X71" i="3"/>
  <c r="AB71" i="3" s="1"/>
  <c r="W72" i="3"/>
  <c r="V70" i="2"/>
  <c r="Z70" i="2" s="1"/>
  <c r="U71" i="2"/>
  <c r="W72" i="7" l="1"/>
  <c r="AB72" i="7" s="1"/>
  <c r="V73" i="7"/>
  <c r="Z71" i="6"/>
  <c r="W72" i="6"/>
  <c r="Z72" i="6" s="1"/>
  <c r="V73" i="6"/>
  <c r="V72" i="5"/>
  <c r="W71" i="5"/>
  <c r="AA71" i="5" s="1"/>
  <c r="Y70" i="4"/>
  <c r="AB70" i="4" s="1"/>
  <c r="X71" i="4"/>
  <c r="W73" i="3"/>
  <c r="X72" i="3"/>
  <c r="AB72" i="3" s="1"/>
  <c r="U72" i="2"/>
  <c r="V71" i="2"/>
  <c r="Z71" i="2" s="1"/>
  <c r="V74" i="7" l="1"/>
  <c r="W73" i="7"/>
  <c r="AB73" i="7" s="1"/>
  <c r="W73" i="6"/>
  <c r="Z73" i="6" s="1"/>
  <c r="V74" i="6"/>
  <c r="X72" i="6"/>
  <c r="W72" i="5"/>
  <c r="AA72" i="5" s="1"/>
  <c r="V73" i="5"/>
  <c r="X72" i="4"/>
  <c r="Y71" i="4"/>
  <c r="AB71" i="4" s="1"/>
  <c r="X73" i="3"/>
  <c r="AB73" i="3" s="1"/>
  <c r="W74" i="3"/>
  <c r="U73" i="2"/>
  <c r="V72" i="2"/>
  <c r="Z72" i="2" s="1"/>
  <c r="W74" i="7" l="1"/>
  <c r="AB74" i="7" s="1"/>
  <c r="V75" i="7"/>
  <c r="V75" i="6"/>
  <c r="W74" i="6"/>
  <c r="Z74" i="6" s="1"/>
  <c r="V74" i="5"/>
  <c r="W73" i="5"/>
  <c r="AA73" i="5" s="1"/>
  <c r="X73" i="4"/>
  <c r="Y72" i="4"/>
  <c r="AB72" i="4" s="1"/>
  <c r="W75" i="3"/>
  <c r="X74" i="3"/>
  <c r="AB74" i="3" s="1"/>
  <c r="V73" i="2"/>
  <c r="Z73" i="2" s="1"/>
  <c r="U74" i="2"/>
  <c r="V76" i="7" l="1"/>
  <c r="W75" i="7"/>
  <c r="AB75" i="7" s="1"/>
  <c r="W75" i="6"/>
  <c r="Z75" i="6" s="1"/>
  <c r="V76" i="6"/>
  <c r="W74" i="5"/>
  <c r="AA74" i="5" s="1"/>
  <c r="V75" i="5"/>
  <c r="Y73" i="4"/>
  <c r="AB73" i="4" s="1"/>
  <c r="X74" i="4"/>
  <c r="X75" i="3"/>
  <c r="AB75" i="3" s="1"/>
  <c r="W76" i="3"/>
  <c r="U75" i="2"/>
  <c r="V74" i="2"/>
  <c r="Z74" i="2" s="1"/>
  <c r="W76" i="7" l="1"/>
  <c r="AB76" i="7" s="1"/>
  <c r="V77" i="7"/>
  <c r="V77" i="6"/>
  <c r="W76" i="6"/>
  <c r="Z76" i="6" s="1"/>
  <c r="V76" i="5"/>
  <c r="W75" i="5"/>
  <c r="AA75" i="5" s="1"/>
  <c r="Y74" i="4"/>
  <c r="AB74" i="4" s="1"/>
  <c r="X75" i="4"/>
  <c r="W77" i="3"/>
  <c r="X76" i="3"/>
  <c r="AB76" i="3" s="1"/>
  <c r="V75" i="2"/>
  <c r="Z75" i="2" s="1"/>
  <c r="U76" i="2"/>
  <c r="V78" i="7" l="1"/>
  <c r="W77" i="7"/>
  <c r="AB77" i="7" s="1"/>
  <c r="V78" i="6"/>
  <c r="W77" i="6"/>
  <c r="Z77" i="6" s="1"/>
  <c r="W76" i="5"/>
  <c r="AA76" i="5" s="1"/>
  <c r="V77" i="5"/>
  <c r="X76" i="4"/>
  <c r="Y75" i="4"/>
  <c r="AB75" i="4" s="1"/>
  <c r="X77" i="3"/>
  <c r="AB77" i="3" s="1"/>
  <c r="W78" i="3"/>
  <c r="V76" i="2"/>
  <c r="Z76" i="2" s="1"/>
  <c r="U77" i="2"/>
  <c r="W78" i="7" l="1"/>
  <c r="AB78" i="7" s="1"/>
  <c r="V79" i="7"/>
  <c r="W78" i="6"/>
  <c r="Z78" i="6" s="1"/>
  <c r="V79" i="6"/>
  <c r="V78" i="5"/>
  <c r="W77" i="5"/>
  <c r="AA77" i="5" s="1"/>
  <c r="X77" i="4"/>
  <c r="Y76" i="4"/>
  <c r="AB76" i="4" s="1"/>
  <c r="W79" i="3"/>
  <c r="X78" i="3"/>
  <c r="AB78" i="3" s="1"/>
  <c r="U78" i="2"/>
  <c r="V77" i="2"/>
  <c r="Z77" i="2" s="1"/>
  <c r="V80" i="7" l="1"/>
  <c r="W79" i="7"/>
  <c r="AB79" i="7" s="1"/>
  <c r="V80" i="6"/>
  <c r="W80" i="6" s="1"/>
  <c r="Z80" i="6" s="1"/>
  <c r="W79" i="6"/>
  <c r="Z79" i="6" s="1"/>
  <c r="W78" i="5"/>
  <c r="AA78" i="5" s="1"/>
  <c r="V79" i="5"/>
  <c r="Y77" i="4"/>
  <c r="AB77" i="4" s="1"/>
  <c r="X78" i="4"/>
  <c r="X79" i="3"/>
  <c r="AB79" i="3" s="1"/>
  <c r="W80" i="3"/>
  <c r="V78" i="2"/>
  <c r="Z78" i="2" s="1"/>
  <c r="U79" i="2"/>
  <c r="W80" i="7" l="1"/>
  <c r="AB80" i="7" s="1"/>
  <c r="V81" i="7"/>
  <c r="W81" i="7" s="1"/>
  <c r="V80" i="5"/>
  <c r="W79" i="5"/>
  <c r="AA79" i="5" s="1"/>
  <c r="Y78" i="4"/>
  <c r="AB78" i="4" s="1"/>
  <c r="X79" i="4"/>
  <c r="W81" i="3"/>
  <c r="X80" i="3"/>
  <c r="AB80" i="3" s="1"/>
  <c r="V79" i="2"/>
  <c r="Z79" i="2" s="1"/>
  <c r="U80" i="2"/>
  <c r="W80" i="5" l="1"/>
  <c r="AA80" i="5" s="1"/>
  <c r="V81" i="5"/>
  <c r="X80" i="4"/>
  <c r="Y79" i="4"/>
  <c r="AB79" i="4" s="1"/>
  <c r="X81" i="3"/>
  <c r="AB81" i="3" s="1"/>
  <c r="W82" i="3"/>
  <c r="U81" i="2"/>
  <c r="V80" i="2"/>
  <c r="Z80" i="2" s="1"/>
  <c r="V82" i="5" l="1"/>
  <c r="W82" i="5" s="1"/>
  <c r="W81" i="5"/>
  <c r="AA81" i="5" s="1"/>
  <c r="X81" i="4"/>
  <c r="Y81" i="4" s="1"/>
  <c r="AB81" i="4" s="1"/>
  <c r="Y80" i="4"/>
  <c r="AB80" i="4" s="1"/>
  <c r="W83" i="3"/>
  <c r="X82" i="3"/>
  <c r="AB82" i="3" s="1"/>
  <c r="V81" i="2"/>
  <c r="Z81" i="2" s="1"/>
  <c r="U82" i="2"/>
  <c r="AA82" i="5" l="1"/>
  <c r="W86" i="5"/>
  <c r="X83" i="3"/>
  <c r="AB83" i="3" s="1"/>
  <c r="W84" i="3"/>
  <c r="U83" i="2"/>
  <c r="V82" i="2"/>
  <c r="Z82" i="2" s="1"/>
  <c r="W85" i="3" l="1"/>
  <c r="X84" i="3"/>
  <c r="AB84" i="3" s="1"/>
  <c r="U84" i="2"/>
  <c r="V83" i="2"/>
  <c r="Z83" i="2" s="1"/>
  <c r="X85" i="3" l="1"/>
  <c r="AB85" i="3" s="1"/>
  <c r="W86" i="3"/>
  <c r="V84" i="2"/>
  <c r="Z84" i="2" s="1"/>
  <c r="U85" i="2"/>
  <c r="W87" i="3" l="1"/>
  <c r="X86" i="3"/>
  <c r="AB86" i="3" s="1"/>
  <c r="U86" i="2"/>
  <c r="V85" i="2"/>
  <c r="Z85" i="2" s="1"/>
  <c r="X87" i="3" l="1"/>
  <c r="AB87" i="3" s="1"/>
  <c r="W88" i="3"/>
  <c r="X88" i="3" s="1"/>
  <c r="AB88" i="3" s="1"/>
  <c r="V86" i="2"/>
  <c r="Z86" i="2" s="1"/>
  <c r="U87" i="2"/>
  <c r="V87" i="2" l="1"/>
  <c r="Z87" i="2" s="1"/>
  <c r="U88" i="2"/>
  <c r="V88" i="2" s="1"/>
  <c r="Z88" i="2" s="1"/>
</calcChain>
</file>

<file path=xl/comments1.xml><?xml version="1.0" encoding="utf-8"?>
<comments xmlns="http://schemas.openxmlformats.org/spreadsheetml/2006/main">
  <authors>
    <author>Autor</author>
  </authors>
  <commentList>
    <comment ref="R11" authorId="0" shapeId="0">
      <text>
        <r>
          <rPr>
            <sz val="9"/>
            <color indexed="81"/>
            <rFont val="Tahoma"/>
            <family val="2"/>
          </rPr>
          <t>Se divide entre el TRH determinado por el modelo</t>
        </r>
      </text>
    </comment>
    <comment ref="S11" authorId="0" shapeId="0">
      <text>
        <r>
          <rPr>
            <b/>
            <sz val="9"/>
            <color indexed="81"/>
            <rFont val="Tahoma"/>
            <family val="2"/>
          </rPr>
          <t>Se divide la concentracion simulada entre el Co determinado por formula y reemplazando los demas datos obtenidos en la simulacion, pero se toma el fit 6 que visualmente se ve mejor y no el 5 que tiene menos eror.</t>
        </r>
      </text>
    </comment>
  </commentList>
</comments>
</file>

<file path=xl/sharedStrings.xml><?xml version="1.0" encoding="utf-8"?>
<sst xmlns="http://schemas.openxmlformats.org/spreadsheetml/2006/main" count="512" uniqueCount="166">
  <si>
    <t>TRT (min)</t>
  </si>
  <si>
    <t>TRH</t>
  </si>
  <si>
    <t>TRAZADOR SIN LODO PUNTO 4</t>
  </si>
  <si>
    <t>ti(min)</t>
  </si>
  <si>
    <t>t10(min)</t>
  </si>
  <si>
    <t>tp(min)</t>
  </si>
  <si>
    <t>to(min)</t>
  </si>
  <si>
    <t>tm(min)</t>
  </si>
  <si>
    <t>t90, min</t>
  </si>
  <si>
    <t>tf, min</t>
  </si>
  <si>
    <t>tc</t>
  </si>
  <si>
    <t>tb</t>
  </si>
  <si>
    <t>Co(mg/L)</t>
  </si>
  <si>
    <t>Cp(mg/L)</t>
  </si>
  <si>
    <t>Cp/2</t>
  </si>
  <si>
    <t>Cp/10</t>
  </si>
  <si>
    <t>E(Ɵ)max</t>
  </si>
  <si>
    <t>TRAZADOR SIN LODO EN EL EFLUENTE (3 entradas)</t>
  </si>
  <si>
    <t>Qe, ml/min</t>
  </si>
  <si>
    <t>Qa, ml/min</t>
  </si>
  <si>
    <t>TRH real con base en la curva E(t)</t>
  </si>
  <si>
    <t>Fecha. Realizado el 05 de Junio de 2008</t>
  </si>
  <si>
    <r>
      <t xml:space="preserve">Volumen útil del reactor, </t>
    </r>
    <r>
      <rPr>
        <sz val="10"/>
        <color indexed="10"/>
        <rFont val="Arial"/>
        <family val="2"/>
      </rPr>
      <t xml:space="preserve"> </t>
    </r>
    <r>
      <rPr>
        <sz val="10"/>
        <rFont val="Arial"/>
        <family val="2"/>
      </rPr>
      <t>L</t>
    </r>
  </si>
  <si>
    <t>Trazador: Litio</t>
  </si>
  <si>
    <r>
      <t>Concentracion trazador: 5000 mg/L Li</t>
    </r>
    <r>
      <rPr>
        <vertAlign val="superscript"/>
        <sz val="10"/>
        <rFont val="Arial"/>
        <family val="2"/>
      </rPr>
      <t>+</t>
    </r>
  </si>
  <si>
    <t>Ensayos de trazadores TRH = 10 h</t>
  </si>
  <si>
    <t>Volumen inyectado: 250 ml</t>
  </si>
  <si>
    <t>Punto de muestreo: Efluente</t>
  </si>
  <si>
    <r>
      <t xml:space="preserve">Concentración inicial del trazador, </t>
    </r>
    <r>
      <rPr>
        <sz val="10"/>
        <color indexed="10"/>
        <rFont val="Arial"/>
        <family val="2"/>
      </rPr>
      <t xml:space="preserve"> </t>
    </r>
    <r>
      <rPr>
        <sz val="10"/>
        <rFont val="Arial"/>
        <family val="2"/>
      </rPr>
      <t>mg/L</t>
    </r>
  </si>
  <si>
    <t>.</t>
  </si>
  <si>
    <t>TR teorico</t>
  </si>
  <si>
    <r>
      <t>Caudal promedio durante el ensayo,</t>
    </r>
    <r>
      <rPr>
        <sz val="10"/>
        <color indexed="10"/>
        <rFont val="Arial"/>
        <family val="2"/>
      </rPr>
      <t xml:space="preserve"> ml</t>
    </r>
    <r>
      <rPr>
        <sz val="10"/>
        <color indexed="10"/>
        <rFont val="Arial"/>
        <family val="2"/>
      </rPr>
      <t>/min</t>
    </r>
  </si>
  <si>
    <t>No</t>
  </si>
  <si>
    <t>Q (mg.min/L)</t>
  </si>
  <si>
    <r>
      <t>E (min</t>
    </r>
    <r>
      <rPr>
        <vertAlign val="superscript"/>
        <sz val="9"/>
        <rFont val="Arial"/>
        <family val="2"/>
      </rPr>
      <t>-1</t>
    </r>
    <r>
      <rPr>
        <sz val="9"/>
        <rFont val="Arial"/>
        <family val="2"/>
      </rPr>
      <t>)</t>
    </r>
  </si>
  <si>
    <t>Expermental</t>
  </si>
  <si>
    <t>Pequeña dis</t>
  </si>
  <si>
    <t>Rec. Abierto</t>
  </si>
  <si>
    <t>tanque serie</t>
  </si>
  <si>
    <t>*Q*C+dt</t>
  </si>
  <si>
    <t>%</t>
  </si>
  <si>
    <t>%acum</t>
  </si>
  <si>
    <t>Fecha</t>
  </si>
  <si>
    <t>Hora</t>
  </si>
  <si>
    <t>t(min)</t>
  </si>
  <si>
    <t>dt(min)</t>
  </si>
  <si>
    <t>Cexp</t>
  </si>
  <si>
    <t>Ci*dti</t>
  </si>
  <si>
    <t>E (t)</t>
  </si>
  <si>
    <t>E(t)*dti</t>
  </si>
  <si>
    <t>t*E(t)*dti</t>
  </si>
  <si>
    <t>E (t)*1000</t>
  </si>
  <si>
    <r>
      <t>(</t>
    </r>
    <r>
      <rPr>
        <sz val="10"/>
        <rFont val="Tahoma"/>
        <family val="2"/>
      </rPr>
      <t>θh</t>
    </r>
    <r>
      <rPr>
        <sz val="10"/>
        <rFont val="Arial"/>
        <family val="2"/>
      </rPr>
      <t>)</t>
    </r>
  </si>
  <si>
    <r>
      <t>E</t>
    </r>
    <r>
      <rPr>
        <sz val="10"/>
        <rFont val="Tahoma"/>
        <family val="2"/>
      </rPr>
      <t>θ</t>
    </r>
  </si>
  <si>
    <r>
      <t>E</t>
    </r>
    <r>
      <rPr>
        <sz val="10"/>
        <rFont val="Tahoma"/>
        <family val="2"/>
      </rPr>
      <t>θ</t>
    </r>
    <r>
      <rPr>
        <vertAlign val="subscript"/>
        <sz val="10"/>
        <rFont val="Tahoma"/>
        <family val="2"/>
      </rPr>
      <t>PD</t>
    </r>
  </si>
  <si>
    <r>
      <t>E</t>
    </r>
    <r>
      <rPr>
        <sz val="10"/>
        <color rgb="FF0000FF"/>
        <rFont val="Tahoma"/>
        <family val="2"/>
      </rPr>
      <t>θ</t>
    </r>
    <r>
      <rPr>
        <vertAlign val="subscript"/>
        <sz val="10"/>
        <color rgb="FF0000FF"/>
        <rFont val="Tahoma"/>
        <family val="2"/>
      </rPr>
      <t>GDRC</t>
    </r>
  </si>
  <si>
    <r>
      <t>E</t>
    </r>
    <r>
      <rPr>
        <sz val="10"/>
        <rFont val="Tahoma"/>
        <family val="2"/>
      </rPr>
      <t>θGDR</t>
    </r>
    <r>
      <rPr>
        <vertAlign val="subscript"/>
        <sz val="10"/>
        <rFont val="Tahoma"/>
        <family val="2"/>
      </rPr>
      <t>A</t>
    </r>
  </si>
  <si>
    <r>
      <t>E</t>
    </r>
    <r>
      <rPr>
        <sz val="10"/>
        <rFont val="Tahoma"/>
        <family val="2"/>
      </rPr>
      <t>θ</t>
    </r>
    <r>
      <rPr>
        <vertAlign val="subscript"/>
        <sz val="10"/>
        <rFont val="Tahoma"/>
        <family val="2"/>
      </rPr>
      <t>TS</t>
    </r>
  </si>
  <si>
    <t>Σ(C*dt</t>
  </si>
  <si>
    <t>F(t)</t>
  </si>
  <si>
    <t>C/Co=[1-f(t)]</t>
  </si>
  <si>
    <t>C/Co</t>
  </si>
  <si>
    <t>Ln c/co</t>
  </si>
  <si>
    <t>(mg/L)</t>
  </si>
  <si>
    <t>Area</t>
  </si>
  <si>
    <t>C/Q</t>
  </si>
  <si>
    <t>Ci*dti/Area</t>
  </si>
  <si>
    <t>(TRH,min)</t>
  </si>
  <si>
    <t>(t/TRHt)</t>
  </si>
  <si>
    <t>1-f</t>
  </si>
  <si>
    <t>CH y C</t>
  </si>
  <si>
    <t>Flujo advectivo</t>
  </si>
  <si>
    <t>Inicia a salir, ti</t>
  </si>
  <si>
    <t>Inicia Cp/10</t>
  </si>
  <si>
    <t>inicia Cp/2</t>
  </si>
  <si>
    <t>Paso del 10%. t10</t>
  </si>
  <si>
    <t>Maxima conc. tp</t>
  </si>
  <si>
    <t>Paso del 50%. tm</t>
  </si>
  <si>
    <t>termina Cp/2</t>
  </si>
  <si>
    <t>Paso del 90%. t90</t>
  </si>
  <si>
    <t>termina Cp/10</t>
  </si>
  <si>
    <t>Suma</t>
  </si>
  <si>
    <t>% Recuperado</t>
  </si>
  <si>
    <t>¯t</t>
  </si>
  <si>
    <t>TRHr, h</t>
  </si>
  <si>
    <t>E.H</t>
  </si>
  <si>
    <t>hora</t>
  </si>
  <si>
    <t>t, min</t>
  </si>
  <si>
    <t>Tamb</t>
  </si>
  <si>
    <t>Te</t>
  </si>
  <si>
    <t>La inestabilidad del caudal del efluente se debe a que el reactor, se dilataba y se contraia, aun no se le habia colocado la faja</t>
  </si>
  <si>
    <t>12:50 a.m</t>
  </si>
  <si>
    <t>Prom</t>
  </si>
  <si>
    <t>Promedio entrada, salida inestable</t>
  </si>
  <si>
    <t>TRt, h</t>
  </si>
  <si>
    <t>Con el promedio del efluente</t>
  </si>
  <si>
    <t>TRT (h)</t>
  </si>
  <si>
    <t>Volumen de zona reacción: altura de la lamina de agua = 27.5 cm. V=</t>
  </si>
  <si>
    <r>
      <t>Volumen útil del reactor:</t>
    </r>
    <r>
      <rPr>
        <sz val="10"/>
        <color indexed="10"/>
        <rFont val="Arial"/>
        <family val="2"/>
      </rPr>
      <t xml:space="preserve"> 503 </t>
    </r>
    <r>
      <rPr>
        <sz val="10"/>
        <rFont val="Arial"/>
        <family val="2"/>
      </rPr>
      <t>L</t>
    </r>
  </si>
  <si>
    <r>
      <t xml:space="preserve">Concentración inicial del trazador: </t>
    </r>
    <r>
      <rPr>
        <sz val="10"/>
        <color indexed="10"/>
        <rFont val="Arial"/>
        <family val="2"/>
      </rPr>
      <t xml:space="preserve">2,485 </t>
    </r>
    <r>
      <rPr>
        <sz val="10"/>
        <rFont val="Arial"/>
        <family val="2"/>
      </rPr>
      <t>mg/L</t>
    </r>
  </si>
  <si>
    <r>
      <t xml:space="preserve">Caudal promedio durante el ensayo </t>
    </r>
    <r>
      <rPr>
        <sz val="10"/>
        <color indexed="10"/>
        <rFont val="Arial"/>
        <family val="2"/>
      </rPr>
      <t>840 ml</t>
    </r>
    <r>
      <rPr>
        <sz val="10"/>
        <color indexed="10"/>
        <rFont val="Arial"/>
        <family val="2"/>
      </rPr>
      <t>/min</t>
    </r>
  </si>
  <si>
    <t>Recipiente cerrrado</t>
  </si>
  <si>
    <t>D</t>
  </si>
  <si>
    <r>
      <t>C</t>
    </r>
    <r>
      <rPr>
        <vertAlign val="subscript"/>
        <sz val="10"/>
        <rFont val="Arial"/>
        <family val="2"/>
      </rPr>
      <t>cal</t>
    </r>
  </si>
  <si>
    <r>
      <t>E</t>
    </r>
    <r>
      <rPr>
        <sz val="10"/>
        <color rgb="FF0000FF"/>
        <rFont val="Tahoma"/>
        <family val="2"/>
      </rPr>
      <t>θ</t>
    </r>
    <r>
      <rPr>
        <vertAlign val="subscript"/>
        <sz val="10"/>
        <color rgb="FF0000FF"/>
        <rFont val="Tahoma"/>
        <family val="2"/>
      </rPr>
      <t>GD</t>
    </r>
  </si>
  <si>
    <r>
      <t>E</t>
    </r>
    <r>
      <rPr>
        <sz val="10"/>
        <rFont val="Tahoma"/>
        <family val="2"/>
      </rPr>
      <t>θ</t>
    </r>
    <r>
      <rPr>
        <vertAlign val="subscript"/>
        <sz val="10"/>
        <rFont val="Tahoma"/>
        <family val="2"/>
      </rPr>
      <t>RA</t>
    </r>
  </si>
  <si>
    <r>
      <t>(m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/min)</t>
    </r>
  </si>
  <si>
    <t>Promedio entrada y salida</t>
  </si>
  <si>
    <t>Fecha. Realizado el 02 de Junio de 2008</t>
  </si>
  <si>
    <t>Ensayos de trazadores TRH= 8 h</t>
  </si>
  <si>
    <t>Caudal promedio durante el ensayo , ml/min</t>
  </si>
  <si>
    <r>
      <t>(</t>
    </r>
    <r>
      <rPr>
        <sz val="10"/>
        <color indexed="48"/>
        <rFont val="Tahoma"/>
        <family val="2"/>
      </rPr>
      <t>θh</t>
    </r>
    <r>
      <rPr>
        <sz val="10"/>
        <color indexed="48"/>
        <rFont val="Arial"/>
        <family val="2"/>
      </rPr>
      <t>)</t>
    </r>
  </si>
  <si>
    <r>
      <t>E</t>
    </r>
    <r>
      <rPr>
        <sz val="10"/>
        <color indexed="48"/>
        <rFont val="Tahoma"/>
        <family val="2"/>
      </rPr>
      <t>θ</t>
    </r>
  </si>
  <si>
    <t>Perez, 2010</t>
  </si>
  <si>
    <r>
      <t>E</t>
    </r>
    <r>
      <rPr>
        <sz val="10"/>
        <rFont val="Tahoma"/>
        <family val="2"/>
      </rPr>
      <t>θPerez</t>
    </r>
  </si>
  <si>
    <t>e^2</t>
  </si>
  <si>
    <t>(t/TRH)</t>
  </si>
  <si>
    <t>Paso del 10%.   t10</t>
  </si>
  <si>
    <t>Paso del 90%. t10</t>
  </si>
  <si>
    <t>12:00.00 m</t>
  </si>
  <si>
    <t>Fecha. Realizado el 02 de junio de 2008</t>
  </si>
  <si>
    <t>Vol Z. Reaccion: 287.7 L</t>
  </si>
  <si>
    <t xml:space="preserve">TRT: </t>
  </si>
  <si>
    <r>
      <t xml:space="preserve">Caudal promedio durante el ensayo </t>
    </r>
    <r>
      <rPr>
        <sz val="10"/>
        <color indexed="10"/>
        <rFont val="Arial"/>
        <family val="2"/>
      </rPr>
      <t>1680 ml/min</t>
    </r>
  </si>
  <si>
    <t>c(mg/L)</t>
  </si>
  <si>
    <t>Paso del 10%. T10. Maxima conc. Tp</t>
  </si>
  <si>
    <t>R</t>
  </si>
  <si>
    <t>R2</t>
  </si>
  <si>
    <t>R2a</t>
  </si>
  <si>
    <t>Des</t>
  </si>
  <si>
    <t>Fecha. Realizado el 28 de mayo de 2008</t>
  </si>
  <si>
    <t>Ensayos de trazadores TRH= 5 h</t>
  </si>
  <si>
    <t>(1.25/a)*(1/((4*pi*b)*(t/c)^3)^0.5)*exp((-(1-(t/c))^2)/(4*b*(t/c)))</t>
  </si>
  <si>
    <t>Vel (m/min)</t>
  </si>
  <si>
    <r>
      <t xml:space="preserve">Caudal promedio durante el ensayo </t>
    </r>
    <r>
      <rPr>
        <sz val="10"/>
        <color indexed="10"/>
        <rFont val="Arial"/>
        <family val="2"/>
      </rPr>
      <t>1050 ml/min</t>
    </r>
  </si>
  <si>
    <r>
      <t>E</t>
    </r>
    <r>
      <rPr>
        <sz val="10"/>
        <rFont val="Tahoma"/>
        <family val="2"/>
      </rPr>
      <t>θ</t>
    </r>
    <r>
      <rPr>
        <vertAlign val="subscript"/>
        <sz val="10"/>
        <rFont val="Tahoma"/>
        <family val="2"/>
      </rPr>
      <t>GD</t>
    </r>
  </si>
  <si>
    <t>C WR</t>
  </si>
  <si>
    <t>Sum</t>
  </si>
  <si>
    <t>Monitoreo de caudales</t>
  </si>
  <si>
    <t>Por eso se toma como promedio el caudal del afluente</t>
  </si>
  <si>
    <t>Vol Z. Reaccion: 287.8 L</t>
  </si>
  <si>
    <t xml:space="preserve">TRH : </t>
  </si>
  <si>
    <t>(mg)</t>
  </si>
  <si>
    <t>Maxima conc. Tp</t>
  </si>
  <si>
    <t xml:space="preserve">Paso del 10%. T10. </t>
  </si>
  <si>
    <t>Q</t>
  </si>
  <si>
    <t>n</t>
  </si>
  <si>
    <t>Qn(Q/n)</t>
  </si>
  <si>
    <t>Qe(Qn/6)</t>
  </si>
  <si>
    <t>tapitas</t>
  </si>
  <si>
    <t>A</t>
  </si>
  <si>
    <t>Ve(Qe/A)</t>
  </si>
  <si>
    <t xml:space="preserve">Diametro </t>
  </si>
  <si>
    <t>Re</t>
  </si>
  <si>
    <t>ρ</t>
  </si>
  <si>
    <r>
      <rPr>
        <sz val="11"/>
        <color theme="1"/>
        <rFont val="Times New Roman"/>
        <family val="1"/>
      </rPr>
      <t>μ</t>
    </r>
    <r>
      <rPr>
        <sz val="11"/>
        <color theme="1"/>
        <rFont val="Calibri"/>
        <family val="2"/>
      </rPr>
      <t>(viscocidad)</t>
    </r>
  </si>
  <si>
    <t>En cada entrada</t>
  </si>
  <si>
    <t>Qa, m3/s</t>
  </si>
  <si>
    <t>V</t>
  </si>
  <si>
    <t>mml</t>
  </si>
  <si>
    <t>m3</t>
  </si>
  <si>
    <t xml:space="preserve">Flujo turbulento </t>
  </si>
  <si>
    <t>Ve,m/s</t>
  </si>
  <si>
    <t>Qe, m3/s</t>
  </si>
  <si>
    <t>Qn, m3/s</t>
  </si>
  <si>
    <t>Todos los flujos son laminares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</si>
</sst>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0.0"/>
    <numFmt numFmtId="165" formatCode="0.000"/>
    <numFmt numFmtId="166" formatCode="0.000000"/>
    <numFmt numFmtId="167" formatCode="0.0000"/>
    <numFmt numFmtId="168" formatCode="0.00000E+00"/>
    <numFmt numFmtId="169" formatCode="0.00000"/>
    <numFmt numFmtId="170" formatCode="0E+00"/>
    <numFmt numFmtId="171" formatCode="0.0E+00"/>
    <numFmt numFmtId="172" formatCode="0.0000E+00"/>
    <numFmt numFmtId="173" formatCode="0.0000000"/>
  </numFmts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0"/>
      <color rgb="FF0000FF"/>
      <name val="Arial"/>
      <family val="2"/>
    </font>
    <font>
      <sz val="10"/>
      <color indexed="10"/>
      <name val="Arial"/>
      <family val="2"/>
    </font>
    <font>
      <vertAlign val="superscript"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vertAlign val="superscript"/>
      <sz val="9"/>
      <name val="Arial"/>
      <family val="2"/>
    </font>
    <font>
      <sz val="10"/>
      <name val="Tahoma"/>
      <family val="2"/>
    </font>
    <font>
      <vertAlign val="subscript"/>
      <sz val="10"/>
      <name val="Tahoma"/>
      <family val="2"/>
    </font>
    <font>
      <sz val="10"/>
      <color rgb="FF0000FF"/>
      <name val="Tahoma"/>
      <family val="2"/>
    </font>
    <font>
      <vertAlign val="subscript"/>
      <sz val="10"/>
      <color rgb="FF0000FF"/>
      <name val="Tahoma"/>
      <family val="2"/>
    </font>
    <font>
      <sz val="8"/>
      <color indexed="8"/>
      <name val="Times New Roman"/>
      <family val="1"/>
    </font>
    <font>
      <sz val="10"/>
      <color rgb="FFFF0000"/>
      <name val="Arial"/>
      <family val="2"/>
    </font>
    <font>
      <sz val="8"/>
      <name val="Times New Roman"/>
      <family val="1"/>
    </font>
    <font>
      <b/>
      <sz val="10"/>
      <color rgb="FF008A3E"/>
      <name val="Arial"/>
      <family val="2"/>
    </font>
    <font>
      <b/>
      <sz val="10"/>
      <name val="Arial"/>
      <family val="2"/>
    </font>
    <font>
      <b/>
      <sz val="10"/>
      <color rgb="FF1909E7"/>
      <name val="Arial"/>
      <family val="2"/>
    </font>
    <font>
      <vertAlign val="subscript"/>
      <sz val="10"/>
      <name val="Arial"/>
      <family val="2"/>
    </font>
    <font>
      <b/>
      <sz val="10"/>
      <color rgb="FF0070C0"/>
      <name val="Arial"/>
      <family val="2"/>
    </font>
    <font>
      <sz val="10"/>
      <color indexed="48"/>
      <name val="Arial"/>
      <family val="2"/>
    </font>
    <font>
      <sz val="10"/>
      <color indexed="48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rgb="FF00B050"/>
      <name val="Times New Roman"/>
      <family val="1"/>
    </font>
    <font>
      <sz val="10"/>
      <color indexed="12"/>
      <name val="Arial"/>
      <family val="2"/>
    </font>
    <font>
      <sz val="8"/>
      <color rgb="FFFF0000"/>
      <name val="Times New Roman"/>
      <family val="1"/>
    </font>
    <font>
      <sz val="10"/>
      <color rgb="FF1909E7"/>
      <name val="Arial"/>
      <family val="2"/>
    </font>
    <font>
      <b/>
      <sz val="8"/>
      <color indexed="17"/>
      <name val="Times New Roman"/>
      <family val="1"/>
    </font>
    <font>
      <b/>
      <sz val="10"/>
      <color indexed="17"/>
      <name val="Arial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166" fontId="0" fillId="0" borderId="0" xfId="0" applyNumberFormat="1"/>
    <xf numFmtId="0" fontId="3" fillId="0" borderId="0" xfId="0" applyFont="1"/>
    <xf numFmtId="2" fontId="0" fillId="0" borderId="0" xfId="0" applyNumberFormat="1"/>
    <xf numFmtId="11" fontId="0" fillId="0" borderId="0" xfId="0" applyNumberFormat="1"/>
    <xf numFmtId="2" fontId="3" fillId="0" borderId="0" xfId="0" applyNumberFormat="1" applyFont="1"/>
    <xf numFmtId="167" fontId="1" fillId="0" borderId="0" xfId="0" applyNumberFormat="1" applyFont="1"/>
    <xf numFmtId="0" fontId="4" fillId="0" borderId="0" xfId="0" applyFont="1"/>
    <xf numFmtId="168" fontId="0" fillId="0" borderId="0" xfId="0" applyNumberFormat="1"/>
    <xf numFmtId="165" fontId="0" fillId="0" borderId="0" xfId="0" applyNumberFormat="1"/>
    <xf numFmtId="165" fontId="3" fillId="0" borderId="0" xfId="0" applyNumberFormat="1" applyFont="1"/>
    <xf numFmtId="169" fontId="0" fillId="0" borderId="0" xfId="0" applyNumberFormat="1"/>
    <xf numFmtId="169" fontId="3" fillId="0" borderId="0" xfId="0" applyNumberFormat="1" applyFont="1"/>
    <xf numFmtId="165" fontId="1" fillId="0" borderId="0" xfId="0" applyNumberFormat="1" applyFont="1"/>
    <xf numFmtId="0" fontId="0" fillId="0" borderId="0" xfId="0" applyAlignment="1">
      <alignment horizontal="center"/>
    </xf>
    <xf numFmtId="0" fontId="0" fillId="0" borderId="3" xfId="0" applyBorder="1"/>
    <xf numFmtId="0" fontId="0" fillId="0" borderId="7" xfId="0" applyBorder="1"/>
    <xf numFmtId="0" fontId="6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" fillId="0" borderId="8" xfId="0" applyFont="1" applyBorder="1"/>
    <xf numFmtId="0" fontId="3" fillId="0" borderId="9" xfId="0" applyFont="1" applyBorder="1"/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5" xfId="0" applyBorder="1"/>
    <xf numFmtId="0" fontId="1" fillId="0" borderId="0" xfId="0" applyFont="1" applyAlignment="1">
      <alignment horizontal="center"/>
    </xf>
    <xf numFmtId="0" fontId="0" fillId="0" borderId="4" xfId="0" applyBorder="1"/>
    <xf numFmtId="0" fontId="0" fillId="0" borderId="10" xfId="0" applyBorder="1"/>
    <xf numFmtId="0" fontId="1" fillId="0" borderId="1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1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18" fontId="0" fillId="0" borderId="1" xfId="0" applyNumberFormat="1" applyBorder="1"/>
    <xf numFmtId="1" fontId="0" fillId="0" borderId="1" xfId="0" applyNumberFormat="1" applyBorder="1" applyAlignment="1">
      <alignment horizontal="center"/>
    </xf>
    <xf numFmtId="167" fontId="0" fillId="0" borderId="1" xfId="0" applyNumberFormat="1" applyBorder="1"/>
    <xf numFmtId="170" fontId="0" fillId="0" borderId="1" xfId="0" applyNumberFormat="1" applyBorder="1"/>
    <xf numFmtId="171" fontId="0" fillId="0" borderId="1" xfId="0" applyNumberFormat="1" applyBorder="1"/>
    <xf numFmtId="11" fontId="0" fillId="0" borderId="1" xfId="0" applyNumberFormat="1" applyBorder="1"/>
    <xf numFmtId="165" fontId="0" fillId="0" borderId="1" xfId="0" applyNumberFormat="1" applyBorder="1"/>
    <xf numFmtId="165" fontId="1" fillId="0" borderId="1" xfId="0" applyNumberFormat="1" applyFont="1" applyBorder="1"/>
    <xf numFmtId="165" fontId="1" fillId="0" borderId="12" xfId="0" applyNumberFormat="1" applyFont="1" applyBorder="1"/>
    <xf numFmtId="165" fontId="3" fillId="0" borderId="12" xfId="0" applyNumberFormat="1" applyFont="1" applyBorder="1"/>
    <xf numFmtId="2" fontId="1" fillId="0" borderId="0" xfId="0" applyNumberFormat="1" applyFont="1"/>
    <xf numFmtId="167" fontId="0" fillId="0" borderId="0" xfId="0" applyNumberFormat="1"/>
    <xf numFmtId="0" fontId="13" fillId="0" borderId="1" xfId="0" applyFont="1" applyBorder="1" applyAlignment="1">
      <alignment horizontal="center" vertical="center"/>
    </xf>
    <xf numFmtId="1" fontId="0" fillId="0" borderId="1" xfId="0" applyNumberFormat="1" applyBorder="1"/>
    <xf numFmtId="171" fontId="1" fillId="0" borderId="1" xfId="0" applyNumberFormat="1" applyFont="1" applyBorder="1"/>
    <xf numFmtId="167" fontId="1" fillId="0" borderId="1" xfId="0" applyNumberFormat="1" applyFont="1" applyBorder="1"/>
    <xf numFmtId="167" fontId="14" fillId="0" borderId="1" xfId="0" applyNumberFormat="1" applyFont="1" applyBorder="1"/>
    <xf numFmtId="171" fontId="14" fillId="0" borderId="1" xfId="0" applyNumberFormat="1" applyFont="1" applyBorder="1"/>
    <xf numFmtId="165" fontId="14" fillId="0" borderId="1" xfId="0" applyNumberFormat="1" applyFont="1" applyBorder="1"/>
    <xf numFmtId="0" fontId="14" fillId="0" borderId="0" xfId="0" applyFont="1"/>
    <xf numFmtId="0" fontId="15" fillId="0" borderId="1" xfId="0" applyFont="1" applyBorder="1" applyAlignment="1">
      <alignment horizontal="center" vertical="center"/>
    </xf>
    <xf numFmtId="0" fontId="16" fillId="0" borderId="0" xfId="0" applyFont="1"/>
    <xf numFmtId="0" fontId="15" fillId="2" borderId="1" xfId="0" applyFont="1" applyFill="1" applyBorder="1" applyAlignment="1">
      <alignment horizontal="center" vertical="center"/>
    </xf>
    <xf numFmtId="0" fontId="17" fillId="3" borderId="0" xfId="0" applyFont="1" applyFill="1"/>
    <xf numFmtId="167" fontId="0" fillId="4" borderId="1" xfId="0" applyNumberFormat="1" applyFill="1" applyBorder="1"/>
    <xf numFmtId="165" fontId="1" fillId="4" borderId="0" xfId="0" applyNumberFormat="1" applyFont="1" applyFill="1"/>
    <xf numFmtId="0" fontId="1" fillId="4" borderId="0" xfId="0" applyFont="1" applyFill="1"/>
    <xf numFmtId="167" fontId="1" fillId="4" borderId="1" xfId="0" applyNumberFormat="1" applyFont="1" applyFill="1" applyBorder="1"/>
    <xf numFmtId="0" fontId="17" fillId="0" borderId="0" xfId="0" applyFont="1"/>
    <xf numFmtId="167" fontId="0" fillId="5" borderId="1" xfId="0" applyNumberFormat="1" applyFill="1" applyBorder="1"/>
    <xf numFmtId="2" fontId="1" fillId="5" borderId="0" xfId="0" applyNumberFormat="1" applyFont="1" applyFill="1"/>
    <xf numFmtId="0" fontId="1" fillId="5" borderId="0" xfId="0" applyFont="1" applyFill="1"/>
    <xf numFmtId="0" fontId="13" fillId="6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2" fontId="1" fillId="3" borderId="0" xfId="0" applyNumberFormat="1" applyFont="1" applyFill="1"/>
    <xf numFmtId="167" fontId="1" fillId="5" borderId="1" xfId="0" applyNumberFormat="1" applyFont="1" applyFill="1" applyBorder="1"/>
    <xf numFmtId="0" fontId="13" fillId="7" borderId="1" xfId="0" applyFont="1" applyFill="1" applyBorder="1" applyAlignment="1">
      <alignment horizontal="center" vertical="center"/>
    </xf>
    <xf numFmtId="167" fontId="14" fillId="0" borderId="0" xfId="0" applyNumberFormat="1" applyFont="1"/>
    <xf numFmtId="166" fontId="14" fillId="0" borderId="0" xfId="0" applyNumberFormat="1" applyFont="1"/>
    <xf numFmtId="0" fontId="13" fillId="5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172" fontId="0" fillId="0" borderId="0" xfId="0" applyNumberFormat="1"/>
    <xf numFmtId="171" fontId="0" fillId="0" borderId="0" xfId="0" applyNumberFormat="1"/>
    <xf numFmtId="0" fontId="9" fillId="0" borderId="0" xfId="0" applyFont="1" applyAlignment="1">
      <alignment horizontal="center"/>
    </xf>
    <xf numFmtId="2" fontId="14" fillId="0" borderId="0" xfId="0" applyNumberFormat="1" applyFont="1"/>
    <xf numFmtId="165" fontId="14" fillId="0" borderId="0" xfId="0" applyNumberFormat="1" applyFont="1"/>
    <xf numFmtId="18" fontId="0" fillId="0" borderId="0" xfId="0" applyNumberFormat="1" applyAlignment="1">
      <alignment horizontal="right"/>
    </xf>
    <xf numFmtId="164" fontId="3" fillId="0" borderId="0" xfId="0" applyNumberFormat="1" applyFont="1"/>
    <xf numFmtId="18" fontId="1" fillId="0" borderId="0" xfId="0" applyNumberFormat="1" applyFont="1" applyAlignment="1">
      <alignment horizontal="right"/>
    </xf>
    <xf numFmtId="18" fontId="0" fillId="0" borderId="0" xfId="0" applyNumberFormat="1"/>
    <xf numFmtId="0" fontId="18" fillId="0" borderId="0" xfId="0" applyFont="1"/>
    <xf numFmtId="165" fontId="18" fillId="0" borderId="0" xfId="0" applyNumberFormat="1" applyFont="1"/>
    <xf numFmtId="2" fontId="18" fillId="0" borderId="0" xfId="0" applyNumberFormat="1" applyFont="1"/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2" xfId="0" applyFont="1" applyBorder="1"/>
    <xf numFmtId="166" fontId="0" fillId="0" borderId="1" xfId="0" applyNumberFormat="1" applyBorder="1"/>
    <xf numFmtId="0" fontId="1" fillId="0" borderId="1" xfId="0" applyFont="1" applyBorder="1"/>
    <xf numFmtId="2" fontId="1" fillId="0" borderId="1" xfId="0" applyNumberFormat="1" applyFont="1" applyBorder="1"/>
    <xf numFmtId="11" fontId="1" fillId="0" borderId="1" xfId="0" applyNumberFormat="1" applyFont="1" applyBorder="1"/>
    <xf numFmtId="11" fontId="14" fillId="0" borderId="1" xfId="0" applyNumberFormat="1" applyFont="1" applyBorder="1"/>
    <xf numFmtId="165" fontId="1" fillId="3" borderId="0" xfId="0" applyNumberFormat="1" applyFont="1" applyFill="1"/>
    <xf numFmtId="0" fontId="1" fillId="3" borderId="0" xfId="0" applyFont="1" applyFill="1"/>
    <xf numFmtId="0" fontId="0" fillId="3" borderId="0" xfId="0" applyFill="1"/>
    <xf numFmtId="0" fontId="16" fillId="3" borderId="0" xfId="0" applyFont="1" applyFill="1"/>
    <xf numFmtId="171" fontId="16" fillId="0" borderId="1" xfId="0" applyNumberFormat="1" applyFont="1" applyBorder="1"/>
    <xf numFmtId="11" fontId="16" fillId="0" borderId="1" xfId="0" applyNumberFormat="1" applyFont="1" applyBorder="1"/>
    <xf numFmtId="165" fontId="16" fillId="0" borderId="1" xfId="0" applyNumberFormat="1" applyFont="1" applyBorder="1"/>
    <xf numFmtId="167" fontId="16" fillId="0" borderId="1" xfId="0" applyNumberFormat="1" applyFont="1" applyBorder="1"/>
    <xf numFmtId="0" fontId="15" fillId="8" borderId="1" xfId="0" applyFont="1" applyFill="1" applyBorder="1" applyAlignment="1">
      <alignment horizontal="center" vertical="center"/>
    </xf>
    <xf numFmtId="171" fontId="20" fillId="0" borderId="1" xfId="0" applyNumberFormat="1" applyFont="1" applyBorder="1"/>
    <xf numFmtId="11" fontId="20" fillId="0" borderId="1" xfId="0" applyNumberFormat="1" applyFont="1" applyBorder="1"/>
    <xf numFmtId="165" fontId="20" fillId="0" borderId="1" xfId="0" applyNumberFormat="1" applyFont="1" applyBorder="1"/>
    <xf numFmtId="167" fontId="20" fillId="0" borderId="1" xfId="0" applyNumberFormat="1" applyFont="1" applyBorder="1"/>
    <xf numFmtId="0" fontId="21" fillId="0" borderId="7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2" xfId="0" applyFont="1" applyBorder="1"/>
    <xf numFmtId="0" fontId="21" fillId="0" borderId="12" xfId="0" applyFont="1" applyBorder="1" applyAlignment="1">
      <alignment horizontal="center"/>
    </xf>
    <xf numFmtId="0" fontId="21" fillId="0" borderId="11" xfId="0" applyFont="1" applyBorder="1"/>
    <xf numFmtId="0" fontId="21" fillId="0" borderId="0" xfId="0" applyFont="1"/>
    <xf numFmtId="171" fontId="1" fillId="0" borderId="0" xfId="0" applyNumberFormat="1" applyFont="1"/>
    <xf numFmtId="167" fontId="0" fillId="6" borderId="1" xfId="0" applyNumberFormat="1" applyFill="1" applyBorder="1"/>
    <xf numFmtId="0" fontId="15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169" fontId="1" fillId="0" borderId="0" xfId="0" applyNumberFormat="1" applyFont="1"/>
    <xf numFmtId="172" fontId="0" fillId="0" borderId="1" xfId="0" applyNumberFormat="1" applyBorder="1"/>
    <xf numFmtId="0" fontId="1" fillId="0" borderId="11" xfId="0" applyFont="1" applyBorder="1" applyAlignment="1">
      <alignment horizontal="center"/>
    </xf>
    <xf numFmtId="2" fontId="1" fillId="0" borderId="12" xfId="0" applyNumberFormat="1" applyFont="1" applyBorder="1"/>
    <xf numFmtId="2" fontId="1" fillId="4" borderId="0" xfId="0" applyNumberFormat="1" applyFont="1" applyFill="1"/>
    <xf numFmtId="0" fontId="15" fillId="5" borderId="1" xfId="0" applyFont="1" applyFill="1" applyBorder="1" applyAlignment="1">
      <alignment horizontal="center" vertical="center"/>
    </xf>
    <xf numFmtId="167" fontId="1" fillId="3" borderId="0" xfId="0" applyNumberFormat="1" applyFont="1" applyFill="1"/>
    <xf numFmtId="167" fontId="0" fillId="3" borderId="1" xfId="0" applyNumberFormat="1" applyFill="1" applyBorder="1"/>
    <xf numFmtId="165" fontId="1" fillId="0" borderId="7" xfId="0" applyNumberFormat="1" applyFont="1" applyBorder="1"/>
    <xf numFmtId="0" fontId="9" fillId="0" borderId="0" xfId="0" applyFont="1"/>
    <xf numFmtId="173" fontId="1" fillId="0" borderId="0" xfId="0" applyNumberFormat="1" applyFont="1"/>
    <xf numFmtId="0" fontId="6" fillId="0" borderId="0" xfId="0" applyFont="1" applyAlignment="1">
      <alignment horizontal="center"/>
    </xf>
    <xf numFmtId="11" fontId="1" fillId="0" borderId="0" xfId="0" applyNumberFormat="1" applyFont="1"/>
    <xf numFmtId="0" fontId="13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25" fillId="6" borderId="4" xfId="0" applyFont="1" applyFill="1" applyBorder="1" applyAlignment="1">
      <alignment horizontal="center" vertical="center"/>
    </xf>
    <xf numFmtId="0" fontId="26" fillId="0" borderId="1" xfId="0" applyFont="1" applyBorder="1"/>
    <xf numFmtId="0" fontId="13" fillId="7" borderId="4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28" fillId="0" borderId="0" xfId="0" applyFont="1"/>
    <xf numFmtId="165" fontId="28" fillId="0" borderId="0" xfId="0" applyNumberFormat="1" applyFont="1"/>
    <xf numFmtId="0" fontId="1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/>
    <xf numFmtId="170" fontId="1" fillId="0" borderId="1" xfId="0" applyNumberFormat="1" applyFont="1" applyBorder="1"/>
    <xf numFmtId="165" fontId="17" fillId="3" borderId="0" xfId="0" applyNumberFormat="1" applyFont="1" applyFill="1"/>
    <xf numFmtId="164" fontId="0" fillId="0" borderId="0" xfId="0" applyNumberFormat="1" applyAlignment="1">
      <alignment horizontal="left" indent="3"/>
    </xf>
    <xf numFmtId="0" fontId="32" fillId="0" borderId="0" xfId="0" applyFont="1"/>
    <xf numFmtId="0" fontId="31" fillId="0" borderId="0" xfId="0" applyFon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left" indent="3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CO"/>
            </a:pPr>
            <a:r>
              <a:rPr lang="es-MX"/>
              <a:t>TRH 5 h. Punto</a:t>
            </a:r>
            <a:r>
              <a:rPr lang="es-MX" baseline="0"/>
              <a:t> 4</a:t>
            </a:r>
            <a:endParaRPr lang="es-MX"/>
          </a:p>
        </c:rich>
      </c:tx>
      <c:layout>
        <c:manualLayout>
          <c:xMode val="edge"/>
          <c:yMode val="edge"/>
          <c:x val="0.31227420101899855"/>
          <c:y val="3.3802821522309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235503294535998"/>
          <c:y val="0.15627952755905511"/>
          <c:w val="0.72535472914083088"/>
          <c:h val="0.68385892388451464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'[1]TRH 8hE'!$M$12:$M$83</c:f>
              <c:strCache>
                <c:ptCount val="1"/>
                <c:pt idx="0">
                  <c:v>0 0 0 0 0 0 0 0 0 0 0 0 0 0 0 0 0.004550687 0.013601379 0.049804143 0.149361745 0.239868656 0.375629023 0.506864044 0.742182013 0.927721181 1.068006893 1.135887076 1.144937767 1.149463113 1.12231104 1.095158966 1.054430856 1.00012671 0.945822563 0.9005691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exp"/>
            <c:dispRSqr val="1"/>
            <c:dispEq val="1"/>
            <c:trendlineLbl>
              <c:layout>
                <c:manualLayout>
                  <c:x val="-0.11569533884165822"/>
                  <c:y val="-0.464555118110236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lang="es-CO"/>
                  </a:pPr>
                  <a:endParaRPr lang="es-MX"/>
                </a:p>
              </c:txPr>
            </c:trendlineLbl>
          </c:trendline>
          <c:xVal>
            <c:numRef>
              <c:f>[1]TRH5hP4!$L$12:$L$80</c:f>
              <c:numCache>
                <c:formatCode>General</c:formatCode>
                <c:ptCount val="69"/>
                <c:pt idx="0">
                  <c:v>0</c:v>
                </c:pt>
                <c:pt idx="1">
                  <c:v>1.684636118598383E-2</c:v>
                </c:pt>
                <c:pt idx="2">
                  <c:v>3.3692722371967659E-2</c:v>
                </c:pt>
                <c:pt idx="3">
                  <c:v>5.0539083557951489E-2</c:v>
                </c:pt>
                <c:pt idx="4">
                  <c:v>6.7385444743935319E-2</c:v>
                </c:pt>
                <c:pt idx="5">
                  <c:v>8.4231805929919149E-2</c:v>
                </c:pt>
                <c:pt idx="6">
                  <c:v>0.10107816711590298</c:v>
                </c:pt>
                <c:pt idx="7">
                  <c:v>0.11792452830188681</c:v>
                </c:pt>
                <c:pt idx="8">
                  <c:v>0.13477088948787064</c:v>
                </c:pt>
                <c:pt idx="9">
                  <c:v>0.15161725067385445</c:v>
                </c:pt>
                <c:pt idx="10">
                  <c:v>0.1684636118598383</c:v>
                </c:pt>
                <c:pt idx="11">
                  <c:v>0.18530997304582211</c:v>
                </c:pt>
                <c:pt idx="12">
                  <c:v>0.20215633423180596</c:v>
                </c:pt>
                <c:pt idx="13">
                  <c:v>0.21900269541778977</c:v>
                </c:pt>
                <c:pt idx="14">
                  <c:v>0.23584905660377362</c:v>
                </c:pt>
                <c:pt idx="15">
                  <c:v>0.25269541778975746</c:v>
                </c:pt>
                <c:pt idx="16">
                  <c:v>0.26954177897574128</c:v>
                </c:pt>
                <c:pt idx="17">
                  <c:v>0.28638814016172509</c:v>
                </c:pt>
                <c:pt idx="18">
                  <c:v>0.30323450134770891</c:v>
                </c:pt>
                <c:pt idx="19">
                  <c:v>0.32008086253369278</c:v>
                </c:pt>
                <c:pt idx="20">
                  <c:v>0.33692722371967659</c:v>
                </c:pt>
                <c:pt idx="21">
                  <c:v>0.36500449236298294</c:v>
                </c:pt>
                <c:pt idx="22">
                  <c:v>0.39308176100628933</c:v>
                </c:pt>
                <c:pt idx="23">
                  <c:v>0.42115902964959573</c:v>
                </c:pt>
                <c:pt idx="24">
                  <c:v>0.44923629829290213</c:v>
                </c:pt>
                <c:pt idx="25">
                  <c:v>0.47731356693620847</c:v>
                </c:pt>
                <c:pt idx="26">
                  <c:v>0.50539083557951492</c:v>
                </c:pt>
                <c:pt idx="27">
                  <c:v>0.5334681042228212</c:v>
                </c:pt>
                <c:pt idx="28">
                  <c:v>0.5615453728661276</c:v>
                </c:pt>
                <c:pt idx="29">
                  <c:v>0.589622641509434</c:v>
                </c:pt>
                <c:pt idx="30">
                  <c:v>0.61769991015274039</c:v>
                </c:pt>
                <c:pt idx="31">
                  <c:v>0.64577717879604679</c:v>
                </c:pt>
                <c:pt idx="32">
                  <c:v>0.67385444743935319</c:v>
                </c:pt>
                <c:pt idx="33">
                  <c:v>0.73000898472596587</c:v>
                </c:pt>
                <c:pt idx="34">
                  <c:v>0.78616352201257866</c:v>
                </c:pt>
                <c:pt idx="35">
                  <c:v>0.84231805929919146</c:v>
                </c:pt>
                <c:pt idx="36">
                  <c:v>0.89847259658580425</c:v>
                </c:pt>
                <c:pt idx="37">
                  <c:v>0.95462713387241693</c:v>
                </c:pt>
                <c:pt idx="38">
                  <c:v>1.0107816711590298</c:v>
                </c:pt>
                <c:pt idx="39">
                  <c:v>1.0669362084456424</c:v>
                </c:pt>
                <c:pt idx="40">
                  <c:v>1.1230907457322552</c:v>
                </c:pt>
                <c:pt idx="41">
                  <c:v>1.179245283018868</c:v>
                </c:pt>
                <c:pt idx="42">
                  <c:v>1.2353998203054808</c:v>
                </c:pt>
                <c:pt idx="43">
                  <c:v>1.2915543575920936</c:v>
                </c:pt>
                <c:pt idx="44">
                  <c:v>1.3477088948787064</c:v>
                </c:pt>
                <c:pt idx="45">
                  <c:v>1.4319407008086256</c:v>
                </c:pt>
                <c:pt idx="46">
                  <c:v>1.5161725067385445</c:v>
                </c:pt>
                <c:pt idx="47">
                  <c:v>1.6004043126684637</c:v>
                </c:pt>
                <c:pt idx="48">
                  <c:v>1.6846361185983829</c:v>
                </c:pt>
                <c:pt idx="49">
                  <c:v>1.7688679245283021</c:v>
                </c:pt>
                <c:pt idx="50">
                  <c:v>1.8530997304582213</c:v>
                </c:pt>
                <c:pt idx="51">
                  <c:v>1.9373315363881403</c:v>
                </c:pt>
                <c:pt idx="52">
                  <c:v>2.0215633423180597</c:v>
                </c:pt>
                <c:pt idx="53">
                  <c:v>2.1338724168912848</c:v>
                </c:pt>
                <c:pt idx="54">
                  <c:v>2.2461814914645104</c:v>
                </c:pt>
                <c:pt idx="55">
                  <c:v>2.358490566037736</c:v>
                </c:pt>
                <c:pt idx="56">
                  <c:v>2.4707996406109616</c:v>
                </c:pt>
                <c:pt idx="57">
                  <c:v>2.5831087151841872</c:v>
                </c:pt>
                <c:pt idx="58">
                  <c:v>2.6954177897574128</c:v>
                </c:pt>
                <c:pt idx="59">
                  <c:v>2.8638814016172511</c:v>
                </c:pt>
                <c:pt idx="60">
                  <c:v>3.0323450134770891</c:v>
                </c:pt>
                <c:pt idx="61">
                  <c:v>3.2008086253369274</c:v>
                </c:pt>
                <c:pt idx="62">
                  <c:v>3.3692722371967658</c:v>
                </c:pt>
                <c:pt idx="63">
                  <c:v>3.5377358490566042</c:v>
                </c:pt>
                <c:pt idx="64">
                  <c:v>3.7061994609164426</c:v>
                </c:pt>
                <c:pt idx="65">
                  <c:v>4.0431266846361194</c:v>
                </c:pt>
                <c:pt idx="66">
                  <c:v>4.3800539083557952</c:v>
                </c:pt>
                <c:pt idx="67">
                  <c:v>4.716981132075472</c:v>
                </c:pt>
                <c:pt idx="68">
                  <c:v>5.0539083557951487</c:v>
                </c:pt>
              </c:numCache>
            </c:numRef>
          </c:xVal>
          <c:yVal>
            <c:numRef>
              <c:f>[1]TRH5hP4!$M$12:$M$80</c:f>
              <c:numCache>
                <c:formatCode>General</c:formatCode>
                <c:ptCount val="69"/>
                <c:pt idx="0">
                  <c:v>0</c:v>
                </c:pt>
                <c:pt idx="1">
                  <c:v>0</c:v>
                </c:pt>
                <c:pt idx="2">
                  <c:v>4.18981095765594E-2</c:v>
                </c:pt>
                <c:pt idx="3">
                  <c:v>0.37900933605462361</c:v>
                </c:pt>
                <c:pt idx="4">
                  <c:v>0.48736651599400138</c:v>
                </c:pt>
                <c:pt idx="5">
                  <c:v>0.56442051061755882</c:v>
                </c:pt>
                <c:pt idx="6">
                  <c:v>0.75464755984446652</c:v>
                </c:pt>
                <c:pt idx="7">
                  <c:v>0.77391105850035591</c:v>
                </c:pt>
                <c:pt idx="8">
                  <c:v>0.90393967442760925</c:v>
                </c:pt>
                <c:pt idx="9">
                  <c:v>0.77150312116836972</c:v>
                </c:pt>
                <c:pt idx="10">
                  <c:v>0.45606333067818117</c:v>
                </c:pt>
                <c:pt idx="11">
                  <c:v>0.73779199852056332</c:v>
                </c:pt>
                <c:pt idx="12">
                  <c:v>0.6559221292330335</c:v>
                </c:pt>
                <c:pt idx="13">
                  <c:v>0.69444912654481217</c:v>
                </c:pt>
                <c:pt idx="14">
                  <c:v>0.77391105850035591</c:v>
                </c:pt>
                <c:pt idx="15">
                  <c:v>0.66314594122899206</c:v>
                </c:pt>
                <c:pt idx="16">
                  <c:v>0.66073800389700588</c:v>
                </c:pt>
                <c:pt idx="17">
                  <c:v>0.69685706387679835</c:v>
                </c:pt>
                <c:pt idx="18">
                  <c:v>0.67759356522090897</c:v>
                </c:pt>
                <c:pt idx="19">
                  <c:v>0.64869831723707505</c:v>
                </c:pt>
                <c:pt idx="20">
                  <c:v>0.63184275591317174</c:v>
                </c:pt>
                <c:pt idx="21">
                  <c:v>0.63665863057714411</c:v>
                </c:pt>
                <c:pt idx="22">
                  <c:v>0.60294750792933771</c:v>
                </c:pt>
                <c:pt idx="23">
                  <c:v>0.56442051061755882</c:v>
                </c:pt>
                <c:pt idx="24">
                  <c:v>0.57646019727748976</c:v>
                </c:pt>
                <c:pt idx="25">
                  <c:v>0.60294750792933771</c:v>
                </c:pt>
                <c:pt idx="26">
                  <c:v>0.6222110065852271</c:v>
                </c:pt>
                <c:pt idx="27">
                  <c:v>0.6390665679091303</c:v>
                </c:pt>
                <c:pt idx="28">
                  <c:v>0.6222110065852271</c:v>
                </c:pt>
                <c:pt idx="29">
                  <c:v>0.59813163326536534</c:v>
                </c:pt>
                <c:pt idx="30">
                  <c:v>0.5692363852815312</c:v>
                </c:pt>
                <c:pt idx="31">
                  <c:v>0.58609194660543451</c:v>
                </c:pt>
                <c:pt idx="32">
                  <c:v>0.55960463595358656</c:v>
                </c:pt>
                <c:pt idx="33">
                  <c:v>0.53793319996571098</c:v>
                </c:pt>
                <c:pt idx="34">
                  <c:v>0.48977445332598746</c:v>
                </c:pt>
                <c:pt idx="35">
                  <c:v>0.48495857866201514</c:v>
                </c:pt>
                <c:pt idx="36">
                  <c:v>0.45365539334619492</c:v>
                </c:pt>
                <c:pt idx="37">
                  <c:v>0.43439189469030554</c:v>
                </c:pt>
                <c:pt idx="38">
                  <c:v>0.40790458403845764</c:v>
                </c:pt>
                <c:pt idx="39">
                  <c:v>0.38623314805058212</c:v>
                </c:pt>
                <c:pt idx="40">
                  <c:v>0.38141727338660975</c:v>
                </c:pt>
                <c:pt idx="41">
                  <c:v>0.37178552405866505</c:v>
                </c:pt>
                <c:pt idx="42">
                  <c:v>0.33807440141085865</c:v>
                </c:pt>
                <c:pt idx="43">
                  <c:v>0.34289027607483102</c:v>
                </c:pt>
                <c:pt idx="44">
                  <c:v>0.3212188400869555</c:v>
                </c:pt>
                <c:pt idx="45">
                  <c:v>0.28750771743914899</c:v>
                </c:pt>
                <c:pt idx="46">
                  <c:v>0.28028390544319048</c:v>
                </c:pt>
                <c:pt idx="47">
                  <c:v>0.25861246945531491</c:v>
                </c:pt>
                <c:pt idx="48">
                  <c:v>0.24175690813141174</c:v>
                </c:pt>
                <c:pt idx="49">
                  <c:v>0.22730928413949472</c:v>
                </c:pt>
                <c:pt idx="50">
                  <c:v>0.20804578548360533</c:v>
                </c:pt>
                <c:pt idx="51">
                  <c:v>0.19841403615566064</c:v>
                </c:pt>
                <c:pt idx="52">
                  <c:v>0.17915053749977122</c:v>
                </c:pt>
                <c:pt idx="53">
                  <c:v>0.16470291350785418</c:v>
                </c:pt>
                <c:pt idx="54">
                  <c:v>0.15507116417990954</c:v>
                </c:pt>
                <c:pt idx="55">
                  <c:v>0.13580766552402013</c:v>
                </c:pt>
                <c:pt idx="56">
                  <c:v>0.10691241754018606</c:v>
                </c:pt>
                <c:pt idx="57">
                  <c:v>0.10691241754018606</c:v>
                </c:pt>
                <c:pt idx="58">
                  <c:v>0.10450448020819988</c:v>
                </c:pt>
                <c:pt idx="59">
                  <c:v>8.524098155231051E-2</c:v>
                </c:pt>
                <c:pt idx="60">
                  <c:v>7.0793357560393483E-2</c:v>
                </c:pt>
                <c:pt idx="61">
                  <c:v>6.5977482896421122E-2</c:v>
                </c:pt>
                <c:pt idx="62">
                  <c:v>5.6345733568476442E-2</c:v>
                </c:pt>
                <c:pt idx="63">
                  <c:v>4.6713984240531747E-2</c:v>
                </c:pt>
                <c:pt idx="64">
                  <c:v>4.18981095765594E-2</c:v>
                </c:pt>
                <c:pt idx="65">
                  <c:v>2.7450485584642369E-2</c:v>
                </c:pt>
                <c:pt idx="66">
                  <c:v>2.2634610920670022E-2</c:v>
                </c:pt>
                <c:pt idx="67">
                  <c:v>1.5410798924711503E-2</c:v>
                </c:pt>
                <c:pt idx="68">
                  <c:v>1.0594924260739158E-2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45B1-48C5-A389-F1CF176C2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39305744"/>
        <c:axId val="-1839299216"/>
      </c:scatterChart>
      <c:valAx>
        <c:axId val="-1839305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CO" b="1" i="0" baseline="0"/>
                </a:pPr>
                <a:r>
                  <a:rPr lang="el-GR" b="1" i="0" baseline="0"/>
                  <a:t>θ =(</a:t>
                </a:r>
                <a:r>
                  <a:rPr lang="es-CO" b="1" i="0" baseline="0"/>
                  <a:t>t/TRHt)</a:t>
                </a:r>
              </a:p>
            </c:rich>
          </c:tx>
          <c:layout>
            <c:manualLayout>
              <c:xMode val="edge"/>
              <c:yMode val="edge"/>
              <c:x val="0.37836393790436446"/>
              <c:y val="0.934307742782151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MX"/>
          </a:p>
        </c:txPr>
        <c:crossAx val="-1839299216"/>
        <c:crosses val="autoZero"/>
        <c:crossBetween val="midCat"/>
      </c:valAx>
      <c:valAx>
        <c:axId val="-18392992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CO" b="1" i="0" baseline="0"/>
                </a:pPr>
                <a:r>
                  <a:rPr lang="es-CO" b="1" i="0" baseline="0"/>
                  <a:t>E(</a:t>
                </a:r>
                <a:r>
                  <a:rPr lang="el-GR" b="1" i="0" baseline="0"/>
                  <a:t>θ)</a:t>
                </a:r>
              </a:p>
            </c:rich>
          </c:tx>
          <c:layout>
            <c:manualLayout>
              <c:xMode val="edge"/>
              <c:yMode val="edge"/>
              <c:x val="2.8880953448181406E-2"/>
              <c:y val="0.4957749343832125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/>
            </a:pPr>
            <a:endParaRPr lang="es-MX"/>
          </a:p>
        </c:txPr>
        <c:crossAx val="-183930574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ahoma" pitchFamily="34" charset="0"/>
          <a:ea typeface="Arial"/>
          <a:cs typeface="Arial"/>
        </a:defRPr>
      </a:pPr>
      <a:endParaRPr lang="es-MX"/>
    </a:p>
  </c:txPr>
  <c:printSettings>
    <c:headerFooter alignWithMargins="0"/>
    <c:pageMargins b="1" l="0.75000000000001465" r="0.75000000000001465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CO"/>
            </a:pPr>
            <a:r>
              <a:rPr lang="es-MX"/>
              <a:t>TRH 5,8</a:t>
            </a:r>
            <a:r>
              <a:rPr lang="es-MX" baseline="0"/>
              <a:t> y 10</a:t>
            </a:r>
            <a:r>
              <a:rPr lang="es-MX"/>
              <a:t> h. Efuente</a:t>
            </a:r>
          </a:p>
        </c:rich>
      </c:tx>
      <c:layout>
        <c:manualLayout>
          <c:xMode val="edge"/>
          <c:yMode val="edge"/>
          <c:x val="0.31227426117191343"/>
          <c:y val="3.38027746531683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04447220128476"/>
          <c:y val="0.10091644863058699"/>
          <c:w val="0.77675232234710678"/>
          <c:h val="0.6687324643435677"/>
        </c:manualLayout>
      </c:layout>
      <c:scatterChart>
        <c:scatterStyle val="lineMarker"/>
        <c:varyColors val="0"/>
        <c:ser>
          <c:idx val="0"/>
          <c:order val="0"/>
          <c:tx>
            <c:v>5h</c:v>
          </c:tx>
          <c:spPr>
            <a:ln w="1905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[1]TRH5hP4!$L$12:$L$80</c:f>
              <c:numCache>
                <c:formatCode>General</c:formatCode>
                <c:ptCount val="69"/>
                <c:pt idx="0">
                  <c:v>0</c:v>
                </c:pt>
                <c:pt idx="1">
                  <c:v>1.684636118598383E-2</c:v>
                </c:pt>
                <c:pt idx="2">
                  <c:v>3.3692722371967659E-2</c:v>
                </c:pt>
                <c:pt idx="3">
                  <c:v>5.0539083557951489E-2</c:v>
                </c:pt>
                <c:pt idx="4">
                  <c:v>6.7385444743935319E-2</c:v>
                </c:pt>
                <c:pt idx="5">
                  <c:v>8.4231805929919149E-2</c:v>
                </c:pt>
                <c:pt idx="6">
                  <c:v>0.10107816711590298</c:v>
                </c:pt>
                <c:pt idx="7">
                  <c:v>0.11792452830188681</c:v>
                </c:pt>
                <c:pt idx="8">
                  <c:v>0.13477088948787064</c:v>
                </c:pt>
                <c:pt idx="9">
                  <c:v>0.15161725067385445</c:v>
                </c:pt>
                <c:pt idx="10">
                  <c:v>0.1684636118598383</c:v>
                </c:pt>
                <c:pt idx="11">
                  <c:v>0.18530997304582211</c:v>
                </c:pt>
                <c:pt idx="12">
                  <c:v>0.20215633423180596</c:v>
                </c:pt>
                <c:pt idx="13">
                  <c:v>0.21900269541778977</c:v>
                </c:pt>
                <c:pt idx="14">
                  <c:v>0.23584905660377362</c:v>
                </c:pt>
                <c:pt idx="15">
                  <c:v>0.25269541778975746</c:v>
                </c:pt>
                <c:pt idx="16">
                  <c:v>0.26954177897574128</c:v>
                </c:pt>
                <c:pt idx="17">
                  <c:v>0.28638814016172509</c:v>
                </c:pt>
                <c:pt idx="18">
                  <c:v>0.30323450134770891</c:v>
                </c:pt>
                <c:pt idx="19">
                  <c:v>0.32008086253369278</c:v>
                </c:pt>
                <c:pt idx="20">
                  <c:v>0.33692722371967659</c:v>
                </c:pt>
                <c:pt idx="21">
                  <c:v>0.36500449236298294</c:v>
                </c:pt>
                <c:pt idx="22">
                  <c:v>0.39308176100628933</c:v>
                </c:pt>
                <c:pt idx="23">
                  <c:v>0.42115902964959573</c:v>
                </c:pt>
                <c:pt idx="24">
                  <c:v>0.44923629829290213</c:v>
                </c:pt>
                <c:pt idx="25">
                  <c:v>0.47731356693620847</c:v>
                </c:pt>
                <c:pt idx="26">
                  <c:v>0.50539083557951492</c:v>
                </c:pt>
                <c:pt idx="27">
                  <c:v>0.5334681042228212</c:v>
                </c:pt>
                <c:pt idx="28">
                  <c:v>0.5615453728661276</c:v>
                </c:pt>
                <c:pt idx="29">
                  <c:v>0.589622641509434</c:v>
                </c:pt>
                <c:pt idx="30">
                  <c:v>0.61769991015274039</c:v>
                </c:pt>
                <c:pt idx="31">
                  <c:v>0.64577717879604679</c:v>
                </c:pt>
                <c:pt idx="32">
                  <c:v>0.67385444743935319</c:v>
                </c:pt>
                <c:pt idx="33">
                  <c:v>0.73000898472596587</c:v>
                </c:pt>
                <c:pt idx="34">
                  <c:v>0.78616352201257866</c:v>
                </c:pt>
                <c:pt idx="35">
                  <c:v>0.84231805929919146</c:v>
                </c:pt>
                <c:pt idx="36">
                  <c:v>0.89847259658580425</c:v>
                </c:pt>
                <c:pt idx="37">
                  <c:v>0.95462713387241693</c:v>
                </c:pt>
                <c:pt idx="38">
                  <c:v>1.0107816711590298</c:v>
                </c:pt>
                <c:pt idx="39">
                  <c:v>1.0669362084456424</c:v>
                </c:pt>
                <c:pt idx="40">
                  <c:v>1.1230907457322552</c:v>
                </c:pt>
                <c:pt idx="41">
                  <c:v>1.179245283018868</c:v>
                </c:pt>
                <c:pt idx="42">
                  <c:v>1.2353998203054808</c:v>
                </c:pt>
                <c:pt idx="43">
                  <c:v>1.2915543575920936</c:v>
                </c:pt>
                <c:pt idx="44">
                  <c:v>1.3477088948787064</c:v>
                </c:pt>
                <c:pt idx="45">
                  <c:v>1.4319407008086256</c:v>
                </c:pt>
                <c:pt idx="46">
                  <c:v>1.5161725067385445</c:v>
                </c:pt>
                <c:pt idx="47">
                  <c:v>1.6004043126684637</c:v>
                </c:pt>
                <c:pt idx="48">
                  <c:v>1.6846361185983829</c:v>
                </c:pt>
                <c:pt idx="49">
                  <c:v>1.7688679245283021</c:v>
                </c:pt>
                <c:pt idx="50">
                  <c:v>1.8530997304582213</c:v>
                </c:pt>
                <c:pt idx="51">
                  <c:v>1.9373315363881403</c:v>
                </c:pt>
                <c:pt idx="52">
                  <c:v>2.0215633423180597</c:v>
                </c:pt>
                <c:pt idx="53">
                  <c:v>2.1338724168912848</c:v>
                </c:pt>
                <c:pt idx="54">
                  <c:v>2.2461814914645104</c:v>
                </c:pt>
                <c:pt idx="55">
                  <c:v>2.358490566037736</c:v>
                </c:pt>
                <c:pt idx="56">
                  <c:v>2.4707996406109616</c:v>
                </c:pt>
                <c:pt idx="57">
                  <c:v>2.5831087151841872</c:v>
                </c:pt>
                <c:pt idx="58">
                  <c:v>2.6954177897574128</c:v>
                </c:pt>
                <c:pt idx="59">
                  <c:v>2.8638814016172511</c:v>
                </c:pt>
                <c:pt idx="60">
                  <c:v>3.0323450134770891</c:v>
                </c:pt>
                <c:pt idx="61">
                  <c:v>3.2008086253369274</c:v>
                </c:pt>
                <c:pt idx="62">
                  <c:v>3.3692722371967658</c:v>
                </c:pt>
                <c:pt idx="63">
                  <c:v>3.5377358490566042</c:v>
                </c:pt>
                <c:pt idx="64">
                  <c:v>3.7061994609164426</c:v>
                </c:pt>
                <c:pt idx="65">
                  <c:v>4.0431266846361194</c:v>
                </c:pt>
                <c:pt idx="66">
                  <c:v>4.3800539083557952</c:v>
                </c:pt>
                <c:pt idx="67">
                  <c:v>4.716981132075472</c:v>
                </c:pt>
                <c:pt idx="68">
                  <c:v>5.0539083557951487</c:v>
                </c:pt>
              </c:numCache>
            </c:numRef>
          </c:xVal>
          <c:yVal>
            <c:numRef>
              <c:f>[1]TRH5hP4!$M$12:$M$80</c:f>
              <c:numCache>
                <c:formatCode>General</c:formatCode>
                <c:ptCount val="69"/>
                <c:pt idx="0">
                  <c:v>0</c:v>
                </c:pt>
                <c:pt idx="1">
                  <c:v>0</c:v>
                </c:pt>
                <c:pt idx="2">
                  <c:v>4.18981095765594E-2</c:v>
                </c:pt>
                <c:pt idx="3">
                  <c:v>0.37900933605462361</c:v>
                </c:pt>
                <c:pt idx="4">
                  <c:v>0.48736651599400138</c:v>
                </c:pt>
                <c:pt idx="5">
                  <c:v>0.56442051061755882</c:v>
                </c:pt>
                <c:pt idx="6">
                  <c:v>0.75464755984446652</c:v>
                </c:pt>
                <c:pt idx="7">
                  <c:v>0.77391105850035591</c:v>
                </c:pt>
                <c:pt idx="8">
                  <c:v>0.90393967442760925</c:v>
                </c:pt>
                <c:pt idx="9">
                  <c:v>0.77150312116836972</c:v>
                </c:pt>
                <c:pt idx="10">
                  <c:v>0.45606333067818117</c:v>
                </c:pt>
                <c:pt idx="11">
                  <c:v>0.73779199852056332</c:v>
                </c:pt>
                <c:pt idx="12">
                  <c:v>0.6559221292330335</c:v>
                </c:pt>
                <c:pt idx="13">
                  <c:v>0.69444912654481217</c:v>
                </c:pt>
                <c:pt idx="14">
                  <c:v>0.77391105850035591</c:v>
                </c:pt>
                <c:pt idx="15">
                  <c:v>0.66314594122899206</c:v>
                </c:pt>
                <c:pt idx="16">
                  <c:v>0.66073800389700588</c:v>
                </c:pt>
                <c:pt idx="17">
                  <c:v>0.69685706387679835</c:v>
                </c:pt>
                <c:pt idx="18">
                  <c:v>0.67759356522090897</c:v>
                </c:pt>
                <c:pt idx="19">
                  <c:v>0.64869831723707505</c:v>
                </c:pt>
                <c:pt idx="20">
                  <c:v>0.63184275591317174</c:v>
                </c:pt>
                <c:pt idx="21">
                  <c:v>0.63665863057714411</c:v>
                </c:pt>
                <c:pt idx="22">
                  <c:v>0.60294750792933771</c:v>
                </c:pt>
                <c:pt idx="23">
                  <c:v>0.56442051061755882</c:v>
                </c:pt>
                <c:pt idx="24">
                  <c:v>0.57646019727748976</c:v>
                </c:pt>
                <c:pt idx="25">
                  <c:v>0.60294750792933771</c:v>
                </c:pt>
                <c:pt idx="26">
                  <c:v>0.6222110065852271</c:v>
                </c:pt>
                <c:pt idx="27">
                  <c:v>0.6390665679091303</c:v>
                </c:pt>
                <c:pt idx="28">
                  <c:v>0.6222110065852271</c:v>
                </c:pt>
                <c:pt idx="29">
                  <c:v>0.59813163326536534</c:v>
                </c:pt>
                <c:pt idx="30">
                  <c:v>0.5692363852815312</c:v>
                </c:pt>
                <c:pt idx="31">
                  <c:v>0.58609194660543451</c:v>
                </c:pt>
                <c:pt idx="32">
                  <c:v>0.55960463595358656</c:v>
                </c:pt>
                <c:pt idx="33">
                  <c:v>0.53793319996571098</c:v>
                </c:pt>
                <c:pt idx="34">
                  <c:v>0.48977445332598746</c:v>
                </c:pt>
                <c:pt idx="35">
                  <c:v>0.48495857866201514</c:v>
                </c:pt>
                <c:pt idx="36">
                  <c:v>0.45365539334619492</c:v>
                </c:pt>
                <c:pt idx="37">
                  <c:v>0.43439189469030554</c:v>
                </c:pt>
                <c:pt idx="38">
                  <c:v>0.40790458403845764</c:v>
                </c:pt>
                <c:pt idx="39">
                  <c:v>0.38623314805058212</c:v>
                </c:pt>
                <c:pt idx="40">
                  <c:v>0.38141727338660975</c:v>
                </c:pt>
                <c:pt idx="41">
                  <c:v>0.37178552405866505</c:v>
                </c:pt>
                <c:pt idx="42">
                  <c:v>0.33807440141085865</c:v>
                </c:pt>
                <c:pt idx="43">
                  <c:v>0.34289027607483102</c:v>
                </c:pt>
                <c:pt idx="44">
                  <c:v>0.3212188400869555</c:v>
                </c:pt>
                <c:pt idx="45">
                  <c:v>0.28750771743914899</c:v>
                </c:pt>
                <c:pt idx="46">
                  <c:v>0.28028390544319048</c:v>
                </c:pt>
                <c:pt idx="47">
                  <c:v>0.25861246945531491</c:v>
                </c:pt>
                <c:pt idx="48">
                  <c:v>0.24175690813141174</c:v>
                </c:pt>
                <c:pt idx="49">
                  <c:v>0.22730928413949472</c:v>
                </c:pt>
                <c:pt idx="50">
                  <c:v>0.20804578548360533</c:v>
                </c:pt>
                <c:pt idx="51">
                  <c:v>0.19841403615566064</c:v>
                </c:pt>
                <c:pt idx="52">
                  <c:v>0.17915053749977122</c:v>
                </c:pt>
                <c:pt idx="53">
                  <c:v>0.16470291350785418</c:v>
                </c:pt>
                <c:pt idx="54">
                  <c:v>0.15507116417990954</c:v>
                </c:pt>
                <c:pt idx="55">
                  <c:v>0.13580766552402013</c:v>
                </c:pt>
                <c:pt idx="56">
                  <c:v>0.10691241754018606</c:v>
                </c:pt>
                <c:pt idx="57">
                  <c:v>0.10691241754018606</c:v>
                </c:pt>
                <c:pt idx="58">
                  <c:v>0.10450448020819988</c:v>
                </c:pt>
                <c:pt idx="59">
                  <c:v>8.524098155231051E-2</c:v>
                </c:pt>
                <c:pt idx="60">
                  <c:v>7.0793357560393483E-2</c:v>
                </c:pt>
                <c:pt idx="61">
                  <c:v>6.5977482896421122E-2</c:v>
                </c:pt>
                <c:pt idx="62">
                  <c:v>5.6345733568476442E-2</c:v>
                </c:pt>
                <c:pt idx="63">
                  <c:v>4.6713984240531747E-2</c:v>
                </c:pt>
                <c:pt idx="64">
                  <c:v>4.18981095765594E-2</c:v>
                </c:pt>
                <c:pt idx="65">
                  <c:v>2.7450485584642369E-2</c:v>
                </c:pt>
                <c:pt idx="66">
                  <c:v>2.2634610920670022E-2</c:v>
                </c:pt>
                <c:pt idx="67">
                  <c:v>1.5410798924711503E-2</c:v>
                </c:pt>
                <c:pt idx="68">
                  <c:v>1.0594924260739158E-2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9EF-4BD9-A0C5-C7A26EA227F6}"/>
            </c:ext>
          </c:extLst>
        </c:ser>
        <c:ser>
          <c:idx val="1"/>
          <c:order val="1"/>
          <c:tx>
            <c:v>8h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[1]TRH8hP4!$L$12:$L$82</c:f>
              <c:numCache>
                <c:formatCode>General</c:formatCode>
                <c:ptCount val="71"/>
                <c:pt idx="0">
                  <c:v>0</c:v>
                </c:pt>
                <c:pt idx="1">
                  <c:v>1.7507002801120452E-2</c:v>
                </c:pt>
                <c:pt idx="2">
                  <c:v>3.5014005602240904E-2</c:v>
                </c:pt>
                <c:pt idx="3">
                  <c:v>5.2521008403361352E-2</c:v>
                </c:pt>
                <c:pt idx="4">
                  <c:v>7.0028011204481808E-2</c:v>
                </c:pt>
                <c:pt idx="5">
                  <c:v>8.7535014005602249E-2</c:v>
                </c:pt>
                <c:pt idx="6">
                  <c:v>0.1050420168067227</c:v>
                </c:pt>
                <c:pt idx="7">
                  <c:v>0.12254901960784315</c:v>
                </c:pt>
                <c:pt idx="8">
                  <c:v>0.14005602240896362</c:v>
                </c:pt>
                <c:pt idx="9">
                  <c:v>0.15756302521008406</c:v>
                </c:pt>
                <c:pt idx="10">
                  <c:v>0.1750700280112045</c:v>
                </c:pt>
                <c:pt idx="11">
                  <c:v>0.19257703081232494</c:v>
                </c:pt>
                <c:pt idx="12">
                  <c:v>0.21008403361344541</c:v>
                </c:pt>
                <c:pt idx="13">
                  <c:v>0.24509803921568629</c:v>
                </c:pt>
                <c:pt idx="14">
                  <c:v>0.28011204481792723</c:v>
                </c:pt>
                <c:pt idx="15">
                  <c:v>0.31512605042016811</c:v>
                </c:pt>
                <c:pt idx="16">
                  <c:v>0.350140056022409</c:v>
                </c:pt>
                <c:pt idx="17">
                  <c:v>0.38515406162464988</c:v>
                </c:pt>
                <c:pt idx="18">
                  <c:v>0.42016806722689082</c:v>
                </c:pt>
                <c:pt idx="19">
                  <c:v>0.47268907563025214</c:v>
                </c:pt>
                <c:pt idx="20">
                  <c:v>0.52521008403361347</c:v>
                </c:pt>
                <c:pt idx="21">
                  <c:v>0.57773109243697485</c:v>
                </c:pt>
                <c:pt idx="22">
                  <c:v>0.63025210084033623</c:v>
                </c:pt>
                <c:pt idx="23">
                  <c:v>0.68277310924369761</c:v>
                </c:pt>
                <c:pt idx="24">
                  <c:v>0.73529411764705888</c:v>
                </c:pt>
                <c:pt idx="25">
                  <c:v>0.78781512605042026</c:v>
                </c:pt>
                <c:pt idx="26">
                  <c:v>0.84033613445378164</c:v>
                </c:pt>
                <c:pt idx="27">
                  <c:v>0.89285714285714302</c:v>
                </c:pt>
                <c:pt idx="28">
                  <c:v>0.94537815126050428</c:v>
                </c:pt>
                <c:pt idx="29">
                  <c:v>0.99789915966386566</c:v>
                </c:pt>
                <c:pt idx="30">
                  <c:v>1.0504201680672269</c:v>
                </c:pt>
                <c:pt idx="31">
                  <c:v>1.1204481792717089</c:v>
                </c:pt>
                <c:pt idx="32">
                  <c:v>1.1904761904761907</c:v>
                </c:pt>
                <c:pt idx="33">
                  <c:v>1.2605042016806725</c:v>
                </c:pt>
                <c:pt idx="34">
                  <c:v>1.3305322128851542</c:v>
                </c:pt>
                <c:pt idx="35">
                  <c:v>1.400560224089636</c:v>
                </c:pt>
                <c:pt idx="36">
                  <c:v>1.4705882352941178</c:v>
                </c:pt>
                <c:pt idx="37">
                  <c:v>1.5406162464985995</c:v>
                </c:pt>
                <c:pt idx="38">
                  <c:v>1.6106442577030815</c:v>
                </c:pt>
                <c:pt idx="39">
                  <c:v>1.6806722689075633</c:v>
                </c:pt>
                <c:pt idx="40">
                  <c:v>1.785714285714286</c:v>
                </c:pt>
                <c:pt idx="41">
                  <c:v>1.8907563025210086</c:v>
                </c:pt>
                <c:pt idx="42">
                  <c:v>1.9957983193277313</c:v>
                </c:pt>
                <c:pt idx="43">
                  <c:v>2.1008403361344539</c:v>
                </c:pt>
                <c:pt idx="44">
                  <c:v>2.2058823529411766</c:v>
                </c:pt>
                <c:pt idx="45">
                  <c:v>2.3109243697478994</c:v>
                </c:pt>
                <c:pt idx="46">
                  <c:v>2.4159663865546221</c:v>
                </c:pt>
                <c:pt idx="47">
                  <c:v>2.5210084033613449</c:v>
                </c:pt>
                <c:pt idx="48">
                  <c:v>2.7310924369747904</c:v>
                </c:pt>
                <c:pt idx="49">
                  <c:v>2.9411764705882355</c:v>
                </c:pt>
                <c:pt idx="50">
                  <c:v>3.151260504201681</c:v>
                </c:pt>
                <c:pt idx="51">
                  <c:v>3.3613445378151265</c:v>
                </c:pt>
                <c:pt idx="52">
                  <c:v>3.5714285714285721</c:v>
                </c:pt>
                <c:pt idx="53">
                  <c:v>3.7815126050420171</c:v>
                </c:pt>
                <c:pt idx="54">
                  <c:v>3.9915966386554627</c:v>
                </c:pt>
                <c:pt idx="55">
                  <c:v>4.2016806722689077</c:v>
                </c:pt>
                <c:pt idx="56">
                  <c:v>4.4117647058823533</c:v>
                </c:pt>
                <c:pt idx="57">
                  <c:v>4.6218487394957988</c:v>
                </c:pt>
                <c:pt idx="58">
                  <c:v>4.8319327731092443</c:v>
                </c:pt>
                <c:pt idx="59">
                  <c:v>5.0420168067226898</c:v>
                </c:pt>
                <c:pt idx="60">
                  <c:v>5.1470588235294121</c:v>
                </c:pt>
                <c:pt idx="61">
                  <c:v>5.2521008403361353</c:v>
                </c:pt>
                <c:pt idx="62">
                  <c:v>5.3571428571428577</c:v>
                </c:pt>
                <c:pt idx="63">
                  <c:v>5.4621848739495809</c:v>
                </c:pt>
                <c:pt idx="64">
                  <c:v>5.5672268907563032</c:v>
                </c:pt>
                <c:pt idx="65">
                  <c:v>5.6722689075630255</c:v>
                </c:pt>
                <c:pt idx="66">
                  <c:v>5.7773109243697487</c:v>
                </c:pt>
                <c:pt idx="67">
                  <c:v>5.882352941176471</c:v>
                </c:pt>
                <c:pt idx="68">
                  <c:v>5.9873949579831942</c:v>
                </c:pt>
                <c:pt idx="69">
                  <c:v>6.0924369747899165</c:v>
                </c:pt>
                <c:pt idx="70">
                  <c:v>6.1974789915966397</c:v>
                </c:pt>
              </c:numCache>
            </c:numRef>
          </c:xVal>
          <c:yVal>
            <c:numRef>
              <c:f>[1]TRH8hP4!$M$12:$M$82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2.3634661090255561E-2</c:v>
                </c:pt>
                <c:pt idx="3">
                  <c:v>0.2178432558178596</c:v>
                </c:pt>
                <c:pt idx="4">
                  <c:v>0.35956304115962479</c:v>
                </c:pt>
                <c:pt idx="5">
                  <c:v>0.58526492151873222</c:v>
                </c:pt>
                <c:pt idx="6">
                  <c:v>2.6244404692919536E-4</c:v>
                </c:pt>
                <c:pt idx="7">
                  <c:v>0.66662257606678255</c:v>
                </c:pt>
                <c:pt idx="8">
                  <c:v>0.65612481418961466</c:v>
                </c:pt>
                <c:pt idx="9">
                  <c:v>0.68499365935182621</c:v>
                </c:pt>
                <c:pt idx="10">
                  <c:v>0.6876180998211181</c:v>
                </c:pt>
                <c:pt idx="11">
                  <c:v>0.69811586169828588</c:v>
                </c:pt>
                <c:pt idx="12">
                  <c:v>0.74273134967624888</c:v>
                </c:pt>
                <c:pt idx="13">
                  <c:v>0.81884012328571543</c:v>
                </c:pt>
                <c:pt idx="14">
                  <c:v>0.79259571859279598</c:v>
                </c:pt>
                <c:pt idx="15">
                  <c:v>0.77160019483846032</c:v>
                </c:pt>
                <c:pt idx="16">
                  <c:v>0.7847223971849201</c:v>
                </c:pt>
                <c:pt idx="17">
                  <c:v>0.75847799249200054</c:v>
                </c:pt>
                <c:pt idx="18">
                  <c:v>0.76372687343058454</c:v>
                </c:pt>
                <c:pt idx="19">
                  <c:v>0.69549142122899399</c:v>
                </c:pt>
                <c:pt idx="20">
                  <c:v>0.64300261184315499</c:v>
                </c:pt>
                <c:pt idx="21">
                  <c:v>0.63512929043527921</c:v>
                </c:pt>
                <c:pt idx="22">
                  <c:v>0.61675820715023555</c:v>
                </c:pt>
                <c:pt idx="23">
                  <c:v>0.55377163588722889</c:v>
                </c:pt>
                <c:pt idx="24">
                  <c:v>0.54327387401006111</c:v>
                </c:pt>
                <c:pt idx="25">
                  <c:v>0.53802499307147711</c:v>
                </c:pt>
                <c:pt idx="26">
                  <c:v>0.52752723119430933</c:v>
                </c:pt>
                <c:pt idx="27">
                  <c:v>0.51965390978643355</c:v>
                </c:pt>
                <c:pt idx="28">
                  <c:v>0.446169576646259</c:v>
                </c:pt>
                <c:pt idx="29">
                  <c:v>0.46191621946201067</c:v>
                </c:pt>
                <c:pt idx="30">
                  <c:v>0.49078506462422211</c:v>
                </c:pt>
                <c:pt idx="31">
                  <c:v>0.44092069570767511</c:v>
                </c:pt>
                <c:pt idx="32">
                  <c:v>0.43304737429979923</c:v>
                </c:pt>
                <c:pt idx="33">
                  <c:v>0.38843188632183623</c:v>
                </c:pt>
                <c:pt idx="34">
                  <c:v>0.32282087458953751</c:v>
                </c:pt>
                <c:pt idx="35">
                  <c:v>0.35693860069033279</c:v>
                </c:pt>
                <c:pt idx="36">
                  <c:v>0.30182535083520196</c:v>
                </c:pt>
                <c:pt idx="37">
                  <c:v>0.2440876605107791</c:v>
                </c:pt>
                <c:pt idx="38">
                  <c:v>0.22571657722573546</c:v>
                </c:pt>
                <c:pt idx="39">
                  <c:v>0.20734549394069182</c:v>
                </c:pt>
                <c:pt idx="40">
                  <c:v>0.1942232915942321</c:v>
                </c:pt>
                <c:pt idx="41">
                  <c:v>0.18634997018635624</c:v>
                </c:pt>
                <c:pt idx="42">
                  <c:v>0.15223224408556096</c:v>
                </c:pt>
                <c:pt idx="43">
                  <c:v>0.13648560126980924</c:v>
                </c:pt>
                <c:pt idx="44">
                  <c:v>0.13386116080051733</c:v>
                </c:pt>
                <c:pt idx="45">
                  <c:v>0.15748112502414485</c:v>
                </c:pt>
                <c:pt idx="46">
                  <c:v>0.14698336314697705</c:v>
                </c:pt>
                <c:pt idx="47">
                  <c:v>0.14960780361626902</c:v>
                </c:pt>
                <c:pt idx="48">
                  <c:v>9.4494553761138106E-2</c:v>
                </c:pt>
                <c:pt idx="49">
                  <c:v>7.874791094538644E-2</c:v>
                </c:pt>
                <c:pt idx="50">
                  <c:v>6.300126812963476E-2</c:v>
                </c:pt>
                <c:pt idx="51">
                  <c:v>4.9879065783175025E-2</c:v>
                </c:pt>
                <c:pt idx="52">
                  <c:v>3.1507982498131394E-2</c:v>
                </c:pt>
                <c:pt idx="53">
                  <c:v>2.8883542028839453E-2</c:v>
                </c:pt>
                <c:pt idx="54">
                  <c:v>2.3634661090255561E-2</c:v>
                </c:pt>
                <c:pt idx="55">
                  <c:v>1.5761339682379714E-2</c:v>
                </c:pt>
                <c:pt idx="56">
                  <c:v>1.0512458743795822E-2</c:v>
                </c:pt>
                <c:pt idx="57">
                  <c:v>1.0512458743795822E-2</c:v>
                </c:pt>
                <c:pt idx="58">
                  <c:v>7.8880182745038763E-3</c:v>
                </c:pt>
                <c:pt idx="59">
                  <c:v>5.2635778052119277E-3</c:v>
                </c:pt>
                <c:pt idx="60">
                  <c:v>2.6391373359199825E-3</c:v>
                </c:pt>
                <c:pt idx="61">
                  <c:v>2.6391373359199825E-3</c:v>
                </c:pt>
                <c:pt idx="62">
                  <c:v>2.6391373359199825E-3</c:v>
                </c:pt>
                <c:pt idx="63">
                  <c:v>2.6391373359199825E-3</c:v>
                </c:pt>
                <c:pt idx="64">
                  <c:v>1.4696866628035513E-5</c:v>
                </c:pt>
                <c:pt idx="65">
                  <c:v>1.4696866628035513E-5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9EF-4BD9-A0C5-C7A26EA227F6}"/>
            </c:ext>
          </c:extLst>
        </c:ser>
        <c:ser>
          <c:idx val="2"/>
          <c:order val="2"/>
          <c:tx>
            <c:v>10h</c:v>
          </c:tx>
          <c:spPr>
            <a:ln w="19050">
              <a:solidFill>
                <a:srgbClr val="EE2718"/>
              </a:solidFill>
              <a:prstDash val="sysDash"/>
            </a:ln>
          </c:spPr>
          <c:marker>
            <c:symbol val="square"/>
            <c:size val="4"/>
            <c:spPr>
              <a:noFill/>
              <a:ln>
                <a:solidFill>
                  <a:prstClr val="black"/>
                </a:solidFill>
              </a:ln>
            </c:spPr>
          </c:marker>
          <c:xVal>
            <c:numRef>
              <c:f>'[1]TRH 10hP4'!$N$12:$N$88</c:f>
              <c:numCache>
                <c:formatCode>General</c:formatCode>
                <c:ptCount val="77"/>
                <c:pt idx="0">
                  <c:v>0</c:v>
                </c:pt>
                <c:pt idx="1">
                  <c:v>1.4031542908458212E-2</c:v>
                </c:pt>
                <c:pt idx="2">
                  <c:v>2.8063085816916425E-2</c:v>
                </c:pt>
                <c:pt idx="3">
                  <c:v>4.2094628725374637E-2</c:v>
                </c:pt>
                <c:pt idx="4">
                  <c:v>5.612617163383285E-2</c:v>
                </c:pt>
                <c:pt idx="5">
                  <c:v>7.0157714542291069E-2</c:v>
                </c:pt>
                <c:pt idx="6">
                  <c:v>8.4189257450749275E-2</c:v>
                </c:pt>
                <c:pt idx="7">
                  <c:v>9.8220800359207494E-2</c:v>
                </c:pt>
                <c:pt idx="8">
                  <c:v>0.1122523432676657</c:v>
                </c:pt>
                <c:pt idx="9">
                  <c:v>0.12628388617612391</c:v>
                </c:pt>
                <c:pt idx="10">
                  <c:v>0.14031542908458214</c:v>
                </c:pt>
                <c:pt idx="11">
                  <c:v>0.15434697199304034</c:v>
                </c:pt>
                <c:pt idx="12">
                  <c:v>0.16837851490149855</c:v>
                </c:pt>
                <c:pt idx="13">
                  <c:v>0.19644160071841499</c:v>
                </c:pt>
                <c:pt idx="14">
                  <c:v>0.2245046865353314</c:v>
                </c:pt>
                <c:pt idx="15">
                  <c:v>0.25256777235224781</c:v>
                </c:pt>
                <c:pt idx="16">
                  <c:v>0.28063085816916428</c:v>
                </c:pt>
                <c:pt idx="17">
                  <c:v>0.30869394398608069</c:v>
                </c:pt>
                <c:pt idx="18">
                  <c:v>0.3367570298029971</c:v>
                </c:pt>
                <c:pt idx="19">
                  <c:v>0.37885165852837177</c:v>
                </c:pt>
                <c:pt idx="20">
                  <c:v>0.42094628725374639</c:v>
                </c:pt>
                <c:pt idx="21">
                  <c:v>0.463040915979121</c:v>
                </c:pt>
                <c:pt idx="22">
                  <c:v>0.50513554470449562</c:v>
                </c:pt>
                <c:pt idx="23">
                  <c:v>0.54723017342987035</c:v>
                </c:pt>
                <c:pt idx="24">
                  <c:v>0.58932480215524496</c:v>
                </c:pt>
                <c:pt idx="25">
                  <c:v>0.63141943088061958</c:v>
                </c:pt>
                <c:pt idx="26">
                  <c:v>0.6735140596059942</c:v>
                </c:pt>
                <c:pt idx="27">
                  <c:v>0.71560868833136881</c:v>
                </c:pt>
                <c:pt idx="28">
                  <c:v>0.75770331705674354</c:v>
                </c:pt>
                <c:pt idx="29">
                  <c:v>0.79979794578211816</c:v>
                </c:pt>
                <c:pt idx="30">
                  <c:v>0.84189257450749277</c:v>
                </c:pt>
                <c:pt idx="31">
                  <c:v>0.8980187461413256</c:v>
                </c:pt>
                <c:pt idx="32">
                  <c:v>0.95414491777515842</c:v>
                </c:pt>
                <c:pt idx="33">
                  <c:v>1.0102710894089912</c:v>
                </c:pt>
                <c:pt idx="34">
                  <c:v>1.0663972610428241</c:v>
                </c:pt>
                <c:pt idx="35">
                  <c:v>1.1225234326766571</c:v>
                </c:pt>
                <c:pt idx="36">
                  <c:v>1.1786496043104899</c:v>
                </c:pt>
                <c:pt idx="37">
                  <c:v>1.2347757759443228</c:v>
                </c:pt>
                <c:pt idx="38">
                  <c:v>1.2909019475781556</c:v>
                </c:pt>
                <c:pt idx="39">
                  <c:v>1.3470281192119884</c:v>
                </c:pt>
                <c:pt idx="40">
                  <c:v>1.4312173766627376</c:v>
                </c:pt>
                <c:pt idx="41">
                  <c:v>1.5154066341134871</c:v>
                </c:pt>
                <c:pt idx="42">
                  <c:v>1.5995958915642363</c:v>
                </c:pt>
                <c:pt idx="43">
                  <c:v>1.6837851490149855</c:v>
                </c:pt>
                <c:pt idx="44">
                  <c:v>1.7679744064657348</c:v>
                </c:pt>
                <c:pt idx="45">
                  <c:v>1.852163663916484</c:v>
                </c:pt>
                <c:pt idx="46">
                  <c:v>1.9363529213672335</c:v>
                </c:pt>
                <c:pt idx="47">
                  <c:v>2.0205421788179825</c:v>
                </c:pt>
                <c:pt idx="48">
                  <c:v>2.1047314362687319</c:v>
                </c:pt>
                <c:pt idx="49">
                  <c:v>2.1889206937194814</c:v>
                </c:pt>
                <c:pt idx="50">
                  <c:v>2.2731099511702304</c:v>
                </c:pt>
                <c:pt idx="51">
                  <c:v>2.3572992086209799</c:v>
                </c:pt>
                <c:pt idx="52">
                  <c:v>2.5256777235224783</c:v>
                </c:pt>
                <c:pt idx="53">
                  <c:v>2.6940562384239768</c:v>
                </c:pt>
                <c:pt idx="54">
                  <c:v>2.8624347533254753</c:v>
                </c:pt>
                <c:pt idx="55">
                  <c:v>3.0308132682269742</c:v>
                </c:pt>
                <c:pt idx="56">
                  <c:v>3.1991917831284726</c:v>
                </c:pt>
                <c:pt idx="57">
                  <c:v>3.3675702980299711</c:v>
                </c:pt>
                <c:pt idx="58">
                  <c:v>3.5359488129314696</c:v>
                </c:pt>
                <c:pt idx="59">
                  <c:v>3.704327327832968</c:v>
                </c:pt>
                <c:pt idx="60">
                  <c:v>3.8727058427344669</c:v>
                </c:pt>
                <c:pt idx="61">
                  <c:v>4.041084357635965</c:v>
                </c:pt>
                <c:pt idx="62">
                  <c:v>4.2094628725374639</c:v>
                </c:pt>
                <c:pt idx="63">
                  <c:v>4.3778413874389628</c:v>
                </c:pt>
                <c:pt idx="64">
                  <c:v>4.5462199023404608</c:v>
                </c:pt>
                <c:pt idx="65">
                  <c:v>4.7145984172419597</c:v>
                </c:pt>
                <c:pt idx="66">
                  <c:v>4.8829769321434577</c:v>
                </c:pt>
                <c:pt idx="67">
                  <c:v>5.0513554470449566</c:v>
                </c:pt>
                <c:pt idx="68">
                  <c:v>5.1355447044957057</c:v>
                </c:pt>
                <c:pt idx="69">
                  <c:v>5.2197339619464556</c:v>
                </c:pt>
                <c:pt idx="70">
                  <c:v>5.3039232193972046</c:v>
                </c:pt>
                <c:pt idx="71">
                  <c:v>5.3881124768479536</c:v>
                </c:pt>
                <c:pt idx="72">
                  <c:v>5.4723017342987026</c:v>
                </c:pt>
                <c:pt idx="73">
                  <c:v>5.5564909917494525</c:v>
                </c:pt>
                <c:pt idx="74">
                  <c:v>5.6406802492002015</c:v>
                </c:pt>
                <c:pt idx="75">
                  <c:v>5.7248695066509505</c:v>
                </c:pt>
                <c:pt idx="76">
                  <c:v>5.8090587641017004</c:v>
                </c:pt>
              </c:numCache>
            </c:numRef>
          </c:xVal>
          <c:yVal>
            <c:numRef>
              <c:f>'[1]TRH 10hP4'!$O$12:$O$88</c:f>
              <c:numCache>
                <c:formatCode>General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1.4696866628035513E-5</c:v>
                </c:pt>
                <c:pt idx="4">
                  <c:v>8.6621232353262273E-2</c:v>
                </c:pt>
                <c:pt idx="5">
                  <c:v>0.10761675610759786</c:v>
                </c:pt>
                <c:pt idx="6">
                  <c:v>0.22571657722573546</c:v>
                </c:pt>
                <c:pt idx="7">
                  <c:v>0.30444979130449384</c:v>
                </c:pt>
                <c:pt idx="8">
                  <c:v>0.30969867224307779</c:v>
                </c:pt>
                <c:pt idx="9">
                  <c:v>0.34119195787458118</c:v>
                </c:pt>
                <c:pt idx="10">
                  <c:v>0.33594307693599729</c:v>
                </c:pt>
                <c:pt idx="11">
                  <c:v>0.31494755318166168</c:v>
                </c:pt>
                <c:pt idx="12">
                  <c:v>0.37530968397537645</c:v>
                </c:pt>
                <c:pt idx="13">
                  <c:v>0.19159885112494016</c:v>
                </c:pt>
                <c:pt idx="14">
                  <c:v>0.30444979130449384</c:v>
                </c:pt>
                <c:pt idx="15">
                  <c:v>0.27033206520369857</c:v>
                </c:pt>
                <c:pt idx="16">
                  <c:v>0.446169576646259</c:v>
                </c:pt>
                <c:pt idx="17">
                  <c:v>0.46191621946201067</c:v>
                </c:pt>
                <c:pt idx="18">
                  <c:v>0.58526492151873222</c:v>
                </c:pt>
                <c:pt idx="19">
                  <c:v>0.65874925465890677</c:v>
                </c:pt>
                <c:pt idx="20">
                  <c:v>0.58526492151873222</c:v>
                </c:pt>
                <c:pt idx="21">
                  <c:v>0.57739160011085644</c:v>
                </c:pt>
                <c:pt idx="22">
                  <c:v>0.61413376668094366</c:v>
                </c:pt>
                <c:pt idx="23">
                  <c:v>0.60888488574235966</c:v>
                </c:pt>
                <c:pt idx="24">
                  <c:v>0.56689383823368866</c:v>
                </c:pt>
                <c:pt idx="25">
                  <c:v>0.54064943354076911</c:v>
                </c:pt>
                <c:pt idx="26">
                  <c:v>0.51965390978643355</c:v>
                </c:pt>
                <c:pt idx="27">
                  <c:v>0.51702946931714155</c:v>
                </c:pt>
                <c:pt idx="28">
                  <c:v>0.48553618368563828</c:v>
                </c:pt>
                <c:pt idx="29">
                  <c:v>0.49603394556280606</c:v>
                </c:pt>
                <c:pt idx="30">
                  <c:v>0.47766286227776245</c:v>
                </c:pt>
                <c:pt idx="31">
                  <c:v>0.43567181476909123</c:v>
                </c:pt>
                <c:pt idx="32">
                  <c:v>0.43042293383050739</c:v>
                </c:pt>
                <c:pt idx="33">
                  <c:v>0.43042293383050739</c:v>
                </c:pt>
                <c:pt idx="34">
                  <c:v>0.38843188632183623</c:v>
                </c:pt>
                <c:pt idx="35">
                  <c:v>0.37006080303679256</c:v>
                </c:pt>
                <c:pt idx="36">
                  <c:v>0.3543141602210409</c:v>
                </c:pt>
                <c:pt idx="37">
                  <c:v>0.3306941959974134</c:v>
                </c:pt>
                <c:pt idx="38">
                  <c:v>0.3306941959974134</c:v>
                </c:pt>
                <c:pt idx="39">
                  <c:v>0.29132758895803412</c:v>
                </c:pt>
                <c:pt idx="40">
                  <c:v>0.27295650567299051</c:v>
                </c:pt>
                <c:pt idx="41">
                  <c:v>0.25458542238794685</c:v>
                </c:pt>
                <c:pt idx="42">
                  <c:v>0.23358989863361132</c:v>
                </c:pt>
                <c:pt idx="43">
                  <c:v>0.22046769628715154</c:v>
                </c:pt>
                <c:pt idx="44">
                  <c:v>0.2178432558178596</c:v>
                </c:pt>
                <c:pt idx="45">
                  <c:v>0.1942232915942321</c:v>
                </c:pt>
                <c:pt idx="46">
                  <c:v>0.18634997018635624</c:v>
                </c:pt>
                <c:pt idx="47">
                  <c:v>0.17585220830918846</c:v>
                </c:pt>
                <c:pt idx="48">
                  <c:v>0.16273000596272874</c:v>
                </c:pt>
                <c:pt idx="49">
                  <c:v>0.18110108924777238</c:v>
                </c:pt>
                <c:pt idx="50">
                  <c:v>0.1601055654934368</c:v>
                </c:pt>
                <c:pt idx="51">
                  <c:v>0.17060332737060455</c:v>
                </c:pt>
                <c:pt idx="52">
                  <c:v>0.15485668455485291</c:v>
                </c:pt>
                <c:pt idx="53">
                  <c:v>0.12073895845405758</c:v>
                </c:pt>
                <c:pt idx="54">
                  <c:v>9.4494553761138106E-2</c:v>
                </c:pt>
                <c:pt idx="55">
                  <c:v>7.6123470476094482E-2</c:v>
                </c:pt>
                <c:pt idx="56">
                  <c:v>6.300126812963476E-2</c:v>
                </c:pt>
                <c:pt idx="57">
                  <c:v>5.5127946721758921E-2</c:v>
                </c:pt>
                <c:pt idx="58">
                  <c:v>4.9879065783175025E-2</c:v>
                </c:pt>
                <c:pt idx="59">
                  <c:v>4.2005744375299185E-2</c:v>
                </c:pt>
                <c:pt idx="60">
                  <c:v>3.4132422967423345E-2</c:v>
                </c:pt>
                <c:pt idx="61">
                  <c:v>3.4132422967423345E-2</c:v>
                </c:pt>
                <c:pt idx="62">
                  <c:v>2.3634661090255561E-2</c:v>
                </c:pt>
                <c:pt idx="63">
                  <c:v>1.8385780151671666E-2</c:v>
                </c:pt>
                <c:pt idx="64">
                  <c:v>1.0512458743795822E-2</c:v>
                </c:pt>
                <c:pt idx="65">
                  <c:v>7.8880182745038763E-3</c:v>
                </c:pt>
                <c:pt idx="66">
                  <c:v>5.2635778052119277E-3</c:v>
                </c:pt>
                <c:pt idx="67">
                  <c:v>2.6391373359199825E-3</c:v>
                </c:pt>
                <c:pt idx="68">
                  <c:v>2.6391373359199825E-3</c:v>
                </c:pt>
                <c:pt idx="69">
                  <c:v>1.4696866628035513E-5</c:v>
                </c:pt>
                <c:pt idx="70">
                  <c:v>1.4696866628035513E-5</c:v>
                </c:pt>
                <c:pt idx="71">
                  <c:v>1.4696866628035513E-5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9EF-4BD9-A0C5-C7A26EA22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39298128"/>
        <c:axId val="-1839305200"/>
      </c:scatterChart>
      <c:valAx>
        <c:axId val="-1839298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CO" b="1" i="0" baseline="0"/>
                </a:pPr>
                <a:r>
                  <a:rPr lang="el-GR" b="1" i="0" baseline="0"/>
                  <a:t>θ =(</a:t>
                </a:r>
                <a:r>
                  <a:rPr lang="es-CO" b="1" i="0" baseline="0"/>
                  <a:t>t/TRHt)</a:t>
                </a:r>
              </a:p>
            </c:rich>
          </c:tx>
          <c:layout>
            <c:manualLayout>
              <c:xMode val="edge"/>
              <c:yMode val="edge"/>
              <c:x val="0.37836384088352598"/>
              <c:y val="0.934307938780379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MX"/>
          </a:p>
        </c:txPr>
        <c:crossAx val="-1839305200"/>
        <c:crosses val="autoZero"/>
        <c:crossBetween val="midCat"/>
      </c:valAx>
      <c:valAx>
        <c:axId val="-1839305200"/>
        <c:scaling>
          <c:orientation val="minMax"/>
          <c:max val="0.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CO" b="1" i="0" baseline="0"/>
                </a:pPr>
                <a:r>
                  <a:rPr lang="es-CO" b="1" i="0" baseline="0"/>
                  <a:t>E(</a:t>
                </a:r>
                <a:r>
                  <a:rPr lang="el-GR" b="1" i="0" baseline="0"/>
                  <a:t>θ)</a:t>
                </a:r>
              </a:p>
            </c:rich>
          </c:tx>
          <c:layout>
            <c:manualLayout>
              <c:xMode val="edge"/>
              <c:yMode val="edge"/>
              <c:x val="2.8880935337628248E-2"/>
              <c:y val="0.495775028121484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/>
            </a:pPr>
            <a:endParaRPr lang="es-MX"/>
          </a:p>
        </c:txPr>
        <c:crossAx val="-183929812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0506453768555225"/>
          <c:y val="0.85332132356950985"/>
          <c:w val="0.31590022838055748"/>
          <c:h val="6.5389371783072581E-2"/>
        </c:manualLayout>
      </c:layout>
      <c:overlay val="0"/>
      <c:txPr>
        <a:bodyPr/>
        <a:lstStyle/>
        <a:p>
          <a:pPr>
            <a:defRPr lang="es-CO" baseline="0"/>
          </a:pPr>
          <a:endParaRPr lang="es-MX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ahoma" pitchFamily="34" charset="0"/>
          <a:ea typeface="Arial"/>
          <a:cs typeface="Arial"/>
        </a:defRPr>
      </a:pPr>
      <a:endParaRPr lang="es-MX"/>
    </a:p>
  </c:txPr>
  <c:printSettings>
    <c:headerFooter alignWithMargins="0"/>
    <c:pageMargins b="1" l="0.75000000000001465" r="0.7500000000000146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043393376165631"/>
          <c:y val="7.2535674420007912E-2"/>
          <c:w val="0.74680198110054374"/>
          <c:h val="0.67564877666154433"/>
        </c:manualLayout>
      </c:layout>
      <c:scatterChart>
        <c:scatterStyle val="lineMarker"/>
        <c:varyColors val="0"/>
        <c:ser>
          <c:idx val="0"/>
          <c:order val="0"/>
          <c:tx>
            <c:v>Dato exp</c:v>
          </c:tx>
          <c:spPr>
            <a:ln w="15875">
              <a:solidFill>
                <a:schemeClr val="tx1"/>
              </a:solidFill>
              <a:prstDash val="solid"/>
            </a:ln>
          </c:spPr>
          <c:marker>
            <c:symbol val="triangle"/>
            <c:size val="4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trendline>
            <c:trendlineType val="log"/>
            <c:dispRSqr val="0"/>
            <c:dispEq val="0"/>
          </c:trendline>
          <c:xVal>
            <c:numRef>
              <c:f>[1]TRH5hP4!$L$12:$L$80</c:f>
              <c:numCache>
                <c:formatCode>General</c:formatCode>
                <c:ptCount val="69"/>
                <c:pt idx="0">
                  <c:v>0</c:v>
                </c:pt>
                <c:pt idx="1">
                  <c:v>1.684636118598383E-2</c:v>
                </c:pt>
                <c:pt idx="2">
                  <c:v>3.3692722371967659E-2</c:v>
                </c:pt>
                <c:pt idx="3">
                  <c:v>5.0539083557951489E-2</c:v>
                </c:pt>
                <c:pt idx="4">
                  <c:v>6.7385444743935319E-2</c:v>
                </c:pt>
                <c:pt idx="5">
                  <c:v>8.4231805929919149E-2</c:v>
                </c:pt>
                <c:pt idx="6">
                  <c:v>0.10107816711590298</c:v>
                </c:pt>
                <c:pt idx="7">
                  <c:v>0.11792452830188681</c:v>
                </c:pt>
                <c:pt idx="8">
                  <c:v>0.13477088948787064</c:v>
                </c:pt>
                <c:pt idx="9">
                  <c:v>0.15161725067385445</c:v>
                </c:pt>
                <c:pt idx="10">
                  <c:v>0.1684636118598383</c:v>
                </c:pt>
                <c:pt idx="11">
                  <c:v>0.18530997304582211</c:v>
                </c:pt>
                <c:pt idx="12">
                  <c:v>0.20215633423180596</c:v>
                </c:pt>
                <c:pt idx="13">
                  <c:v>0.21900269541778977</c:v>
                </c:pt>
                <c:pt idx="14">
                  <c:v>0.23584905660377362</c:v>
                </c:pt>
                <c:pt idx="15">
                  <c:v>0.25269541778975746</c:v>
                </c:pt>
                <c:pt idx="16">
                  <c:v>0.26954177897574128</c:v>
                </c:pt>
                <c:pt idx="17">
                  <c:v>0.28638814016172509</c:v>
                </c:pt>
                <c:pt idx="18">
                  <c:v>0.30323450134770891</c:v>
                </c:pt>
                <c:pt idx="19">
                  <c:v>0.32008086253369278</c:v>
                </c:pt>
                <c:pt idx="20">
                  <c:v>0.33692722371967659</c:v>
                </c:pt>
                <c:pt idx="21">
                  <c:v>0.36500449236298294</c:v>
                </c:pt>
                <c:pt idx="22">
                  <c:v>0.39308176100628933</c:v>
                </c:pt>
                <c:pt idx="23">
                  <c:v>0.42115902964959573</c:v>
                </c:pt>
                <c:pt idx="24">
                  <c:v>0.44923629829290213</c:v>
                </c:pt>
                <c:pt idx="25">
                  <c:v>0.47731356693620847</c:v>
                </c:pt>
                <c:pt idx="26">
                  <c:v>0.50539083557951492</c:v>
                </c:pt>
                <c:pt idx="27">
                  <c:v>0.5334681042228212</c:v>
                </c:pt>
                <c:pt idx="28">
                  <c:v>0.5615453728661276</c:v>
                </c:pt>
                <c:pt idx="29">
                  <c:v>0.589622641509434</c:v>
                </c:pt>
                <c:pt idx="30">
                  <c:v>0.61769991015274039</c:v>
                </c:pt>
                <c:pt idx="31">
                  <c:v>0.64577717879604679</c:v>
                </c:pt>
                <c:pt idx="32">
                  <c:v>0.67385444743935319</c:v>
                </c:pt>
                <c:pt idx="33">
                  <c:v>0.73000898472596587</c:v>
                </c:pt>
                <c:pt idx="34">
                  <c:v>0.78616352201257866</c:v>
                </c:pt>
                <c:pt idx="35">
                  <c:v>0.84231805929919146</c:v>
                </c:pt>
                <c:pt idx="36">
                  <c:v>0.89847259658580425</c:v>
                </c:pt>
                <c:pt idx="37">
                  <c:v>0.95462713387241693</c:v>
                </c:pt>
                <c:pt idx="38">
                  <c:v>1.0107816711590298</c:v>
                </c:pt>
                <c:pt idx="39">
                  <c:v>1.0669362084456424</c:v>
                </c:pt>
                <c:pt idx="40">
                  <c:v>1.1230907457322552</c:v>
                </c:pt>
                <c:pt idx="41">
                  <c:v>1.179245283018868</c:v>
                </c:pt>
                <c:pt idx="42">
                  <c:v>1.2353998203054808</c:v>
                </c:pt>
                <c:pt idx="43">
                  <c:v>1.2915543575920936</c:v>
                </c:pt>
                <c:pt idx="44">
                  <c:v>1.3477088948787064</c:v>
                </c:pt>
                <c:pt idx="45">
                  <c:v>1.4319407008086256</c:v>
                </c:pt>
                <c:pt idx="46">
                  <c:v>1.5161725067385445</c:v>
                </c:pt>
                <c:pt idx="47">
                  <c:v>1.6004043126684637</c:v>
                </c:pt>
                <c:pt idx="48">
                  <c:v>1.6846361185983829</c:v>
                </c:pt>
                <c:pt idx="49">
                  <c:v>1.7688679245283021</c:v>
                </c:pt>
                <c:pt idx="50">
                  <c:v>1.8530997304582213</c:v>
                </c:pt>
                <c:pt idx="51">
                  <c:v>1.9373315363881403</c:v>
                </c:pt>
                <c:pt idx="52">
                  <c:v>2.0215633423180597</c:v>
                </c:pt>
                <c:pt idx="53">
                  <c:v>2.1338724168912848</c:v>
                </c:pt>
                <c:pt idx="54">
                  <c:v>2.2461814914645104</c:v>
                </c:pt>
                <c:pt idx="55">
                  <c:v>2.358490566037736</c:v>
                </c:pt>
                <c:pt idx="56">
                  <c:v>2.4707996406109616</c:v>
                </c:pt>
                <c:pt idx="57">
                  <c:v>2.5831087151841872</c:v>
                </c:pt>
                <c:pt idx="58">
                  <c:v>2.6954177897574128</c:v>
                </c:pt>
                <c:pt idx="59">
                  <c:v>2.8638814016172511</c:v>
                </c:pt>
                <c:pt idx="60">
                  <c:v>3.0323450134770891</c:v>
                </c:pt>
                <c:pt idx="61">
                  <c:v>3.2008086253369274</c:v>
                </c:pt>
                <c:pt idx="62">
                  <c:v>3.3692722371967658</c:v>
                </c:pt>
                <c:pt idx="63">
                  <c:v>3.5377358490566042</c:v>
                </c:pt>
                <c:pt idx="64">
                  <c:v>3.7061994609164426</c:v>
                </c:pt>
                <c:pt idx="65">
                  <c:v>4.0431266846361194</c:v>
                </c:pt>
                <c:pt idx="66">
                  <c:v>4.3800539083557952</c:v>
                </c:pt>
                <c:pt idx="67">
                  <c:v>4.716981132075472</c:v>
                </c:pt>
                <c:pt idx="68">
                  <c:v>5.0539083557951487</c:v>
                </c:pt>
              </c:numCache>
            </c:numRef>
          </c:xVal>
          <c:yVal>
            <c:numRef>
              <c:f>[1]TRH5hP4!$M$12:$M$80</c:f>
              <c:numCache>
                <c:formatCode>General</c:formatCode>
                <c:ptCount val="69"/>
                <c:pt idx="0">
                  <c:v>0</c:v>
                </c:pt>
                <c:pt idx="1">
                  <c:v>0</c:v>
                </c:pt>
                <c:pt idx="2">
                  <c:v>4.18981095765594E-2</c:v>
                </c:pt>
                <c:pt idx="3">
                  <c:v>0.37900933605462361</c:v>
                </c:pt>
                <c:pt idx="4">
                  <c:v>0.48736651599400138</c:v>
                </c:pt>
                <c:pt idx="5">
                  <c:v>0.56442051061755882</c:v>
                </c:pt>
                <c:pt idx="6">
                  <c:v>0.75464755984446652</c:v>
                </c:pt>
                <c:pt idx="7">
                  <c:v>0.77391105850035591</c:v>
                </c:pt>
                <c:pt idx="8">
                  <c:v>0.90393967442760925</c:v>
                </c:pt>
                <c:pt idx="9">
                  <c:v>0.77150312116836972</c:v>
                </c:pt>
                <c:pt idx="10">
                  <c:v>0.45606333067818117</c:v>
                </c:pt>
                <c:pt idx="11">
                  <c:v>0.73779199852056332</c:v>
                </c:pt>
                <c:pt idx="12">
                  <c:v>0.6559221292330335</c:v>
                </c:pt>
                <c:pt idx="13">
                  <c:v>0.69444912654481217</c:v>
                </c:pt>
                <c:pt idx="14">
                  <c:v>0.77391105850035591</c:v>
                </c:pt>
                <c:pt idx="15">
                  <c:v>0.66314594122899206</c:v>
                </c:pt>
                <c:pt idx="16">
                  <c:v>0.66073800389700588</c:v>
                </c:pt>
                <c:pt idx="17">
                  <c:v>0.69685706387679835</c:v>
                </c:pt>
                <c:pt idx="18">
                  <c:v>0.67759356522090897</c:v>
                </c:pt>
                <c:pt idx="19">
                  <c:v>0.64869831723707505</c:v>
                </c:pt>
                <c:pt idx="20">
                  <c:v>0.63184275591317174</c:v>
                </c:pt>
                <c:pt idx="21">
                  <c:v>0.63665863057714411</c:v>
                </c:pt>
                <c:pt idx="22">
                  <c:v>0.60294750792933771</c:v>
                </c:pt>
                <c:pt idx="23">
                  <c:v>0.56442051061755882</c:v>
                </c:pt>
                <c:pt idx="24">
                  <c:v>0.57646019727748976</c:v>
                </c:pt>
                <c:pt idx="25">
                  <c:v>0.60294750792933771</c:v>
                </c:pt>
                <c:pt idx="26">
                  <c:v>0.6222110065852271</c:v>
                </c:pt>
                <c:pt idx="27">
                  <c:v>0.6390665679091303</c:v>
                </c:pt>
                <c:pt idx="28">
                  <c:v>0.6222110065852271</c:v>
                </c:pt>
                <c:pt idx="29">
                  <c:v>0.59813163326536534</c:v>
                </c:pt>
                <c:pt idx="30">
                  <c:v>0.5692363852815312</c:v>
                </c:pt>
                <c:pt idx="31">
                  <c:v>0.58609194660543451</c:v>
                </c:pt>
                <c:pt idx="32">
                  <c:v>0.55960463595358656</c:v>
                </c:pt>
                <c:pt idx="33">
                  <c:v>0.53793319996571098</c:v>
                </c:pt>
                <c:pt idx="34">
                  <c:v>0.48977445332598746</c:v>
                </c:pt>
                <c:pt idx="35">
                  <c:v>0.48495857866201514</c:v>
                </c:pt>
                <c:pt idx="36">
                  <c:v>0.45365539334619492</c:v>
                </c:pt>
                <c:pt idx="37">
                  <c:v>0.43439189469030554</c:v>
                </c:pt>
                <c:pt idx="38">
                  <c:v>0.40790458403845764</c:v>
                </c:pt>
                <c:pt idx="39">
                  <c:v>0.38623314805058212</c:v>
                </c:pt>
                <c:pt idx="40">
                  <c:v>0.38141727338660975</c:v>
                </c:pt>
                <c:pt idx="41">
                  <c:v>0.37178552405866505</c:v>
                </c:pt>
                <c:pt idx="42">
                  <c:v>0.33807440141085865</c:v>
                </c:pt>
                <c:pt idx="43">
                  <c:v>0.34289027607483102</c:v>
                </c:pt>
                <c:pt idx="44">
                  <c:v>0.3212188400869555</c:v>
                </c:pt>
                <c:pt idx="45">
                  <c:v>0.28750771743914899</c:v>
                </c:pt>
                <c:pt idx="46">
                  <c:v>0.28028390544319048</c:v>
                </c:pt>
                <c:pt idx="47">
                  <c:v>0.25861246945531491</c:v>
                </c:pt>
                <c:pt idx="48">
                  <c:v>0.24175690813141174</c:v>
                </c:pt>
                <c:pt idx="49">
                  <c:v>0.22730928413949472</c:v>
                </c:pt>
                <c:pt idx="50">
                  <c:v>0.20804578548360533</c:v>
                </c:pt>
                <c:pt idx="51">
                  <c:v>0.19841403615566064</c:v>
                </c:pt>
                <c:pt idx="52">
                  <c:v>0.17915053749977122</c:v>
                </c:pt>
                <c:pt idx="53">
                  <c:v>0.16470291350785418</c:v>
                </c:pt>
                <c:pt idx="54">
                  <c:v>0.15507116417990954</c:v>
                </c:pt>
                <c:pt idx="55">
                  <c:v>0.13580766552402013</c:v>
                </c:pt>
                <c:pt idx="56">
                  <c:v>0.10691241754018606</c:v>
                </c:pt>
                <c:pt idx="57">
                  <c:v>0.10691241754018606</c:v>
                </c:pt>
                <c:pt idx="58">
                  <c:v>0.10450448020819988</c:v>
                </c:pt>
                <c:pt idx="59">
                  <c:v>8.524098155231051E-2</c:v>
                </c:pt>
                <c:pt idx="60">
                  <c:v>7.0793357560393483E-2</c:v>
                </c:pt>
                <c:pt idx="61">
                  <c:v>6.5977482896421122E-2</c:v>
                </c:pt>
                <c:pt idx="62">
                  <c:v>5.6345733568476442E-2</c:v>
                </c:pt>
                <c:pt idx="63">
                  <c:v>4.6713984240531747E-2</c:v>
                </c:pt>
                <c:pt idx="64">
                  <c:v>4.18981095765594E-2</c:v>
                </c:pt>
                <c:pt idx="65">
                  <c:v>2.7450485584642369E-2</c:v>
                </c:pt>
                <c:pt idx="66">
                  <c:v>2.2634610920670022E-2</c:v>
                </c:pt>
                <c:pt idx="67">
                  <c:v>1.5410798924711503E-2</c:v>
                </c:pt>
                <c:pt idx="68">
                  <c:v>1.0594924260739158E-2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B1F1-492A-A914-DCC81D931875}"/>
            </c:ext>
          </c:extLst>
        </c:ser>
        <c:ser>
          <c:idx val="1"/>
          <c:order val="1"/>
          <c:tx>
            <c:v>T.S</c:v>
          </c:tx>
          <c:spPr>
            <a:ln w="12700"/>
          </c:spPr>
          <c:marker>
            <c:symbol val="squar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trendline>
            <c:trendlineType val="log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log"/>
            <c:dispRSqr val="0"/>
            <c:dispEq val="0"/>
          </c:trendline>
          <c:xVal>
            <c:numRef>
              <c:f>[1]TRH5hP4!$L$12:$L$80</c:f>
              <c:numCache>
                <c:formatCode>General</c:formatCode>
                <c:ptCount val="69"/>
                <c:pt idx="0">
                  <c:v>0</c:v>
                </c:pt>
                <c:pt idx="1">
                  <c:v>1.684636118598383E-2</c:v>
                </c:pt>
                <c:pt idx="2">
                  <c:v>3.3692722371967659E-2</c:v>
                </c:pt>
                <c:pt idx="3">
                  <c:v>5.0539083557951489E-2</c:v>
                </c:pt>
                <c:pt idx="4">
                  <c:v>6.7385444743935319E-2</c:v>
                </c:pt>
                <c:pt idx="5">
                  <c:v>8.4231805929919149E-2</c:v>
                </c:pt>
                <c:pt idx="6">
                  <c:v>0.10107816711590298</c:v>
                </c:pt>
                <c:pt idx="7">
                  <c:v>0.11792452830188681</c:v>
                </c:pt>
                <c:pt idx="8">
                  <c:v>0.13477088948787064</c:v>
                </c:pt>
                <c:pt idx="9">
                  <c:v>0.15161725067385445</c:v>
                </c:pt>
                <c:pt idx="10">
                  <c:v>0.1684636118598383</c:v>
                </c:pt>
                <c:pt idx="11">
                  <c:v>0.18530997304582211</c:v>
                </c:pt>
                <c:pt idx="12">
                  <c:v>0.20215633423180596</c:v>
                </c:pt>
                <c:pt idx="13">
                  <c:v>0.21900269541778977</c:v>
                </c:pt>
                <c:pt idx="14">
                  <c:v>0.23584905660377362</c:v>
                </c:pt>
                <c:pt idx="15">
                  <c:v>0.25269541778975746</c:v>
                </c:pt>
                <c:pt idx="16">
                  <c:v>0.26954177897574128</c:v>
                </c:pt>
                <c:pt idx="17">
                  <c:v>0.28638814016172509</c:v>
                </c:pt>
                <c:pt idx="18">
                  <c:v>0.30323450134770891</c:v>
                </c:pt>
                <c:pt idx="19">
                  <c:v>0.32008086253369278</c:v>
                </c:pt>
                <c:pt idx="20">
                  <c:v>0.33692722371967659</c:v>
                </c:pt>
                <c:pt idx="21">
                  <c:v>0.36500449236298294</c:v>
                </c:pt>
                <c:pt idx="22">
                  <c:v>0.39308176100628933</c:v>
                </c:pt>
                <c:pt idx="23">
                  <c:v>0.42115902964959573</c:v>
                </c:pt>
                <c:pt idx="24">
                  <c:v>0.44923629829290213</c:v>
                </c:pt>
                <c:pt idx="25">
                  <c:v>0.47731356693620847</c:v>
                </c:pt>
                <c:pt idx="26">
                  <c:v>0.50539083557951492</c:v>
                </c:pt>
                <c:pt idx="27">
                  <c:v>0.5334681042228212</c:v>
                </c:pt>
                <c:pt idx="28">
                  <c:v>0.5615453728661276</c:v>
                </c:pt>
                <c:pt idx="29">
                  <c:v>0.589622641509434</c:v>
                </c:pt>
                <c:pt idx="30">
                  <c:v>0.61769991015274039</c:v>
                </c:pt>
                <c:pt idx="31">
                  <c:v>0.64577717879604679</c:v>
                </c:pt>
                <c:pt idx="32">
                  <c:v>0.67385444743935319</c:v>
                </c:pt>
                <c:pt idx="33">
                  <c:v>0.73000898472596587</c:v>
                </c:pt>
                <c:pt idx="34">
                  <c:v>0.78616352201257866</c:v>
                </c:pt>
                <c:pt idx="35">
                  <c:v>0.84231805929919146</c:v>
                </c:pt>
                <c:pt idx="36">
                  <c:v>0.89847259658580425</c:v>
                </c:pt>
                <c:pt idx="37">
                  <c:v>0.95462713387241693</c:v>
                </c:pt>
                <c:pt idx="38">
                  <c:v>1.0107816711590298</c:v>
                </c:pt>
                <c:pt idx="39">
                  <c:v>1.0669362084456424</c:v>
                </c:pt>
                <c:pt idx="40">
                  <c:v>1.1230907457322552</c:v>
                </c:pt>
                <c:pt idx="41">
                  <c:v>1.179245283018868</c:v>
                </c:pt>
                <c:pt idx="42">
                  <c:v>1.2353998203054808</c:v>
                </c:pt>
                <c:pt idx="43">
                  <c:v>1.2915543575920936</c:v>
                </c:pt>
                <c:pt idx="44">
                  <c:v>1.3477088948787064</c:v>
                </c:pt>
                <c:pt idx="45">
                  <c:v>1.4319407008086256</c:v>
                </c:pt>
                <c:pt idx="46">
                  <c:v>1.5161725067385445</c:v>
                </c:pt>
                <c:pt idx="47">
                  <c:v>1.6004043126684637</c:v>
                </c:pt>
                <c:pt idx="48">
                  <c:v>1.6846361185983829</c:v>
                </c:pt>
                <c:pt idx="49">
                  <c:v>1.7688679245283021</c:v>
                </c:pt>
                <c:pt idx="50">
                  <c:v>1.8530997304582213</c:v>
                </c:pt>
                <c:pt idx="51">
                  <c:v>1.9373315363881403</c:v>
                </c:pt>
                <c:pt idx="52">
                  <c:v>2.0215633423180597</c:v>
                </c:pt>
                <c:pt idx="53">
                  <c:v>2.1338724168912848</c:v>
                </c:pt>
                <c:pt idx="54">
                  <c:v>2.2461814914645104</c:v>
                </c:pt>
                <c:pt idx="55">
                  <c:v>2.358490566037736</c:v>
                </c:pt>
                <c:pt idx="56">
                  <c:v>2.4707996406109616</c:v>
                </c:pt>
                <c:pt idx="57">
                  <c:v>2.5831087151841872</c:v>
                </c:pt>
                <c:pt idx="58">
                  <c:v>2.6954177897574128</c:v>
                </c:pt>
                <c:pt idx="59">
                  <c:v>2.8638814016172511</c:v>
                </c:pt>
                <c:pt idx="60">
                  <c:v>3.0323450134770891</c:v>
                </c:pt>
                <c:pt idx="61">
                  <c:v>3.2008086253369274</c:v>
                </c:pt>
                <c:pt idx="62">
                  <c:v>3.3692722371967658</c:v>
                </c:pt>
                <c:pt idx="63">
                  <c:v>3.5377358490566042</c:v>
                </c:pt>
                <c:pt idx="64">
                  <c:v>3.7061994609164426</c:v>
                </c:pt>
                <c:pt idx="65">
                  <c:v>4.0431266846361194</c:v>
                </c:pt>
                <c:pt idx="66">
                  <c:v>4.3800539083557952</c:v>
                </c:pt>
                <c:pt idx="67">
                  <c:v>4.716981132075472</c:v>
                </c:pt>
                <c:pt idx="68">
                  <c:v>5.0539083557951487</c:v>
                </c:pt>
              </c:numCache>
            </c:numRef>
          </c:xVal>
          <c:yVal>
            <c:numRef>
              <c:f>[1]TRH5hP4!$Q$12:$Q$80</c:f>
              <c:numCache>
                <c:formatCode>General</c:formatCode>
                <c:ptCount val="69"/>
                <c:pt idx="0">
                  <c:v>0</c:v>
                </c:pt>
                <c:pt idx="1">
                  <c:v>0.28278010021928268</c:v>
                </c:pt>
                <c:pt idx="2">
                  <c:v>0.37140011333582834</c:v>
                </c:pt>
                <c:pt idx="3">
                  <c:v>0.43128210699350555</c:v>
                </c:pt>
                <c:pt idx="4">
                  <c:v>0.47619800270551937</c:v>
                </c:pt>
                <c:pt idx="5">
                  <c:v>0.51146674877613807</c:v>
                </c:pt>
                <c:pt idx="6">
                  <c:v>0.53983287371364852</c:v>
                </c:pt>
                <c:pt idx="7">
                  <c:v>0.56294362264348585</c:v>
                </c:pt>
                <c:pt idx="8">
                  <c:v>0.5818858636863814</c:v>
                </c:pt>
                <c:pt idx="9">
                  <c:v>0.59742506008164042</c:v>
                </c:pt>
                <c:pt idx="10">
                  <c:v>0.61012664502292624</c:v>
                </c:pt>
                <c:pt idx="11">
                  <c:v>0.62042374458331184</c:v>
                </c:pt>
                <c:pt idx="12">
                  <c:v>0.62865773629718391</c:v>
                </c:pt>
                <c:pt idx="13">
                  <c:v>0.63510392332488574</c:v>
                </c:pt>
                <c:pt idx="14">
                  <c:v>0.63998852889377444</c:v>
                </c:pt>
                <c:pt idx="15">
                  <c:v>0.64350036729462756</c:v>
                </c:pt>
                <c:pt idx="16">
                  <c:v>0.64579911058002881</c:v>
                </c:pt>
                <c:pt idx="17">
                  <c:v>0.64702130020440862</c:v>
                </c:pt>
                <c:pt idx="18">
                  <c:v>0.64728481921166858</c:v>
                </c:pt>
                <c:pt idx="19">
                  <c:v>0.64669228574087534</c:v>
                </c:pt>
                <c:pt idx="20">
                  <c:v>0.64533367328564339</c:v>
                </c:pt>
                <c:pt idx="21">
                  <c:v>0.6415784353287235</c:v>
                </c:pt>
                <c:pt idx="22">
                  <c:v>0.63622693623460291</c:v>
                </c:pt>
                <c:pt idx="23">
                  <c:v>0.62954033560076805</c:v>
                </c:pt>
                <c:pt idx="24">
                  <c:v>0.62173756001936176</c:v>
                </c:pt>
                <c:pt idx="25">
                  <c:v>0.61300376202396356</c:v>
                </c:pt>
                <c:pt idx="26">
                  <c:v>0.60349667710841803</c:v>
                </c:pt>
                <c:pt idx="27">
                  <c:v>0.59335149610911631</c:v>
                </c:pt>
                <c:pt idx="28">
                  <c:v>0.58268466458407497</c:v>
                </c:pt>
                <c:pt idx="29">
                  <c:v>0.57159689080783471</c:v>
                </c:pt>
                <c:pt idx="30">
                  <c:v>0.56017555947187769</c:v>
                </c:pt>
                <c:pt idx="31">
                  <c:v>0.54849669184080097</c:v>
                </c:pt>
                <c:pt idx="32">
                  <c:v>0.53662655472138487</c:v>
                </c:pt>
                <c:pt idx="33">
                  <c:v>0.5125365489021646</c:v>
                </c:pt>
                <c:pt idx="34">
                  <c:v>0.48828612523550097</c:v>
                </c:pt>
                <c:pt idx="35">
                  <c:v>0.46416580464272794</c:v>
                </c:pt>
                <c:pt idx="36">
                  <c:v>0.44039657763915274</c:v>
                </c:pt>
                <c:pt idx="37">
                  <c:v>0.41714517082178715</c:v>
                </c:pt>
                <c:pt idx="38">
                  <c:v>0.3945356148088181</c:v>
                </c:pt>
                <c:pt idx="39">
                  <c:v>0.37265814796622387</c:v>
                </c:pt>
                <c:pt idx="40">
                  <c:v>0.3515761591499964</c:v>
                </c:pt>
                <c:pt idx="41">
                  <c:v>0.33133166003868292</c:v>
                </c:pt>
                <c:pt idx="42">
                  <c:v>0.31194963710263257</c:v>
                </c:pt>
                <c:pt idx="43">
                  <c:v>0.29344153801228667</c:v>
                </c:pt>
                <c:pt idx="44">
                  <c:v>0.27580808126218026</c:v>
                </c:pt>
                <c:pt idx="45">
                  <c:v>0.25097907907712241</c:v>
                </c:pt>
                <c:pt idx="46">
                  <c:v>0.22804668519544188</c:v>
                </c:pt>
                <c:pt idx="47">
                  <c:v>0.20693570051066856</c:v>
                </c:pt>
                <c:pt idx="48">
                  <c:v>0.18755621814721543</c:v>
                </c:pt>
                <c:pt idx="49">
                  <c:v>0.16980959874407361</c:v>
                </c:pt>
                <c:pt idx="50">
                  <c:v>0.15359286223495167</c:v>
                </c:pt>
                <c:pt idx="51">
                  <c:v>0.13880189286306388</c:v>
                </c:pt>
                <c:pt idx="52">
                  <c:v>0.12533375028082916</c:v>
                </c:pt>
                <c:pt idx="53">
                  <c:v>0.10926144559262579</c:v>
                </c:pt>
                <c:pt idx="54">
                  <c:v>9.5137171923834807E-2</c:v>
                </c:pt>
                <c:pt idx="55">
                  <c:v>8.2750048215310359E-2</c:v>
                </c:pt>
                <c:pt idx="56">
                  <c:v>7.1905862993326963E-2</c:v>
                </c:pt>
                <c:pt idx="57">
                  <c:v>6.2427494855267406E-2</c:v>
                </c:pt>
                <c:pt idx="58">
                  <c:v>5.4154656236158623E-2</c:v>
                </c:pt>
                <c:pt idx="59">
                  <c:v>4.369463203778505E-2</c:v>
                </c:pt>
                <c:pt idx="60">
                  <c:v>3.520270834558719E-2</c:v>
                </c:pt>
                <c:pt idx="61">
                  <c:v>2.8323667264588872E-2</c:v>
                </c:pt>
                <c:pt idx="62">
                  <c:v>2.2761835377852528E-2</c:v>
                </c:pt>
                <c:pt idx="63">
                  <c:v>1.8272576775108833E-2</c:v>
                </c:pt>
                <c:pt idx="64">
                  <c:v>1.4654477614714775E-2</c:v>
                </c:pt>
                <c:pt idx="65">
                  <c:v>9.4013634052926547E-3</c:v>
                </c:pt>
                <c:pt idx="66">
                  <c:v>6.0133435519236491E-3</c:v>
                </c:pt>
                <c:pt idx="67">
                  <c:v>3.8365252030547188E-3</c:v>
                </c:pt>
                <c:pt idx="68">
                  <c:v>2.442357925096872E-3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B1F1-492A-A914-DCC81D931875}"/>
            </c:ext>
          </c:extLst>
        </c:ser>
        <c:ser>
          <c:idx val="3"/>
          <c:order val="2"/>
          <c:tx>
            <c:v>PD</c:v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[1]TRH5hP4!$L$12:$L$80</c:f>
              <c:numCache>
                <c:formatCode>General</c:formatCode>
                <c:ptCount val="69"/>
                <c:pt idx="0">
                  <c:v>0</c:v>
                </c:pt>
                <c:pt idx="1">
                  <c:v>1.684636118598383E-2</c:v>
                </c:pt>
                <c:pt idx="2">
                  <c:v>3.3692722371967659E-2</c:v>
                </c:pt>
                <c:pt idx="3">
                  <c:v>5.0539083557951489E-2</c:v>
                </c:pt>
                <c:pt idx="4">
                  <c:v>6.7385444743935319E-2</c:v>
                </c:pt>
                <c:pt idx="5">
                  <c:v>8.4231805929919149E-2</c:v>
                </c:pt>
                <c:pt idx="6">
                  <c:v>0.10107816711590298</c:v>
                </c:pt>
                <c:pt idx="7">
                  <c:v>0.11792452830188681</c:v>
                </c:pt>
                <c:pt idx="8">
                  <c:v>0.13477088948787064</c:v>
                </c:pt>
                <c:pt idx="9">
                  <c:v>0.15161725067385445</c:v>
                </c:pt>
                <c:pt idx="10">
                  <c:v>0.1684636118598383</c:v>
                </c:pt>
                <c:pt idx="11">
                  <c:v>0.18530997304582211</c:v>
                </c:pt>
                <c:pt idx="12">
                  <c:v>0.20215633423180596</c:v>
                </c:pt>
                <c:pt idx="13">
                  <c:v>0.21900269541778977</c:v>
                </c:pt>
                <c:pt idx="14">
                  <c:v>0.23584905660377362</c:v>
                </c:pt>
                <c:pt idx="15">
                  <c:v>0.25269541778975746</c:v>
                </c:pt>
                <c:pt idx="16">
                  <c:v>0.26954177897574128</c:v>
                </c:pt>
                <c:pt idx="17">
                  <c:v>0.28638814016172509</c:v>
                </c:pt>
                <c:pt idx="18">
                  <c:v>0.30323450134770891</c:v>
                </c:pt>
                <c:pt idx="19">
                  <c:v>0.32008086253369278</c:v>
                </c:pt>
                <c:pt idx="20">
                  <c:v>0.33692722371967659</c:v>
                </c:pt>
                <c:pt idx="21">
                  <c:v>0.36500449236298294</c:v>
                </c:pt>
                <c:pt idx="22">
                  <c:v>0.39308176100628933</c:v>
                </c:pt>
                <c:pt idx="23">
                  <c:v>0.42115902964959573</c:v>
                </c:pt>
                <c:pt idx="24">
                  <c:v>0.44923629829290213</c:v>
                </c:pt>
                <c:pt idx="25">
                  <c:v>0.47731356693620847</c:v>
                </c:pt>
                <c:pt idx="26">
                  <c:v>0.50539083557951492</c:v>
                </c:pt>
                <c:pt idx="27">
                  <c:v>0.5334681042228212</c:v>
                </c:pt>
                <c:pt idx="28">
                  <c:v>0.5615453728661276</c:v>
                </c:pt>
                <c:pt idx="29">
                  <c:v>0.589622641509434</c:v>
                </c:pt>
                <c:pt idx="30">
                  <c:v>0.61769991015274039</c:v>
                </c:pt>
                <c:pt idx="31">
                  <c:v>0.64577717879604679</c:v>
                </c:pt>
                <c:pt idx="32">
                  <c:v>0.67385444743935319</c:v>
                </c:pt>
                <c:pt idx="33">
                  <c:v>0.73000898472596587</c:v>
                </c:pt>
                <c:pt idx="34">
                  <c:v>0.78616352201257866</c:v>
                </c:pt>
                <c:pt idx="35">
                  <c:v>0.84231805929919146</c:v>
                </c:pt>
                <c:pt idx="36">
                  <c:v>0.89847259658580425</c:v>
                </c:pt>
                <c:pt idx="37">
                  <c:v>0.95462713387241693</c:v>
                </c:pt>
                <c:pt idx="38">
                  <c:v>1.0107816711590298</c:v>
                </c:pt>
                <c:pt idx="39">
                  <c:v>1.0669362084456424</c:v>
                </c:pt>
                <c:pt idx="40">
                  <c:v>1.1230907457322552</c:v>
                </c:pt>
                <c:pt idx="41">
                  <c:v>1.179245283018868</c:v>
                </c:pt>
                <c:pt idx="42">
                  <c:v>1.2353998203054808</c:v>
                </c:pt>
                <c:pt idx="43">
                  <c:v>1.2915543575920936</c:v>
                </c:pt>
                <c:pt idx="44">
                  <c:v>1.3477088948787064</c:v>
                </c:pt>
                <c:pt idx="45">
                  <c:v>1.4319407008086256</c:v>
                </c:pt>
                <c:pt idx="46">
                  <c:v>1.5161725067385445</c:v>
                </c:pt>
                <c:pt idx="47">
                  <c:v>1.6004043126684637</c:v>
                </c:pt>
                <c:pt idx="48">
                  <c:v>1.6846361185983829</c:v>
                </c:pt>
                <c:pt idx="49">
                  <c:v>1.7688679245283021</c:v>
                </c:pt>
                <c:pt idx="50">
                  <c:v>1.8530997304582213</c:v>
                </c:pt>
                <c:pt idx="51">
                  <c:v>1.9373315363881403</c:v>
                </c:pt>
                <c:pt idx="52">
                  <c:v>2.0215633423180597</c:v>
                </c:pt>
                <c:pt idx="53">
                  <c:v>2.1338724168912848</c:v>
                </c:pt>
                <c:pt idx="54">
                  <c:v>2.2461814914645104</c:v>
                </c:pt>
                <c:pt idx="55">
                  <c:v>2.358490566037736</c:v>
                </c:pt>
                <c:pt idx="56">
                  <c:v>2.4707996406109616</c:v>
                </c:pt>
                <c:pt idx="57">
                  <c:v>2.5831087151841872</c:v>
                </c:pt>
                <c:pt idx="58">
                  <c:v>2.6954177897574128</c:v>
                </c:pt>
                <c:pt idx="59">
                  <c:v>2.8638814016172511</c:v>
                </c:pt>
                <c:pt idx="60">
                  <c:v>3.0323450134770891</c:v>
                </c:pt>
                <c:pt idx="61">
                  <c:v>3.2008086253369274</c:v>
                </c:pt>
                <c:pt idx="62">
                  <c:v>3.3692722371967658</c:v>
                </c:pt>
                <c:pt idx="63">
                  <c:v>3.5377358490566042</c:v>
                </c:pt>
                <c:pt idx="64">
                  <c:v>3.7061994609164426</c:v>
                </c:pt>
                <c:pt idx="65">
                  <c:v>4.0431266846361194</c:v>
                </c:pt>
                <c:pt idx="66">
                  <c:v>4.3800539083557952</c:v>
                </c:pt>
                <c:pt idx="67">
                  <c:v>4.716981132075472</c:v>
                </c:pt>
                <c:pt idx="68">
                  <c:v>5.0539083557951487</c:v>
                </c:pt>
              </c:numCache>
            </c:numRef>
          </c:xVal>
          <c:yVal>
            <c:numRef>
              <c:f>[1]TRH5hP4!$N$12:$N$80</c:f>
              <c:numCache>
                <c:formatCode>General</c:formatCode>
                <c:ptCount val="69"/>
                <c:pt idx="0">
                  <c:v>0.23344080211807225</c:v>
                </c:pt>
                <c:pt idx="1">
                  <c:v>0.23907689120383141</c:v>
                </c:pt>
                <c:pt idx="2">
                  <c:v>0.24474983517469412</c:v>
                </c:pt>
                <c:pt idx="3">
                  <c:v>0.25045585629512601</c:v>
                </c:pt>
                <c:pt idx="4">
                  <c:v>0.25619104730098274</c:v>
                </c:pt>
                <c:pt idx="5">
                  <c:v>0.26195137478638836</c:v>
                </c:pt>
                <c:pt idx="6">
                  <c:v>0.26773268292733693</c:v>
                </c:pt>
                <c:pt idx="7">
                  <c:v>0.27353069754057485</c:v>
                </c:pt>
                <c:pt idx="8">
                  <c:v>0.27934103047532133</c:v>
                </c:pt>
                <c:pt idx="9">
                  <c:v>0.28515918433438048</c:v>
                </c:pt>
                <c:pt idx="10">
                  <c:v>0.29098055752017621</c:v>
                </c:pt>
                <c:pt idx="11">
                  <c:v>0.29680044960021429</c:v>
                </c:pt>
                <c:pt idx="12">
                  <c:v>0.30261406698544691</c:v>
                </c:pt>
                <c:pt idx="13">
                  <c:v>0.3084165289139808</c:v>
                </c:pt>
                <c:pt idx="14">
                  <c:v>0.31420287373154737</c:v>
                </c:pt>
                <c:pt idx="15">
                  <c:v>0.31996806545912737</c:v>
                </c:pt>
                <c:pt idx="16">
                  <c:v>0.32570700063712155</c:v>
                </c:pt>
                <c:pt idx="17">
                  <c:v>0.3314145154344591</c:v>
                </c:pt>
                <c:pt idx="18">
                  <c:v>0.33708539301006724</c:v>
                </c:pt>
                <c:pt idx="19">
                  <c:v>0.3427143711131726</c:v>
                </c:pt>
                <c:pt idx="20">
                  <c:v>0.34829614990798113</c:v>
                </c:pt>
                <c:pt idx="21">
                  <c:v>0.35747974243003916</c:v>
                </c:pt>
                <c:pt idx="22">
                  <c:v>0.36649262571537244</c:v>
                </c:pt>
                <c:pt idx="23">
                  <c:v>0.3753099568801152</c:v>
                </c:pt>
                <c:pt idx="24">
                  <c:v>0.38390694936162789</c:v>
                </c:pt>
                <c:pt idx="25">
                  <c:v>0.39225898714025476</c:v>
                </c:pt>
                <c:pt idx="26">
                  <c:v>0.4003417406717395</c:v>
                </c:pt>
                <c:pt idx="27">
                  <c:v>0.4081312837783494</c:v>
                </c:pt>
                <c:pt idx="28">
                  <c:v>0.41560421072234777</c:v>
                </c:pt>
                <c:pt idx="29">
                  <c:v>0.42273775266757158</c:v>
                </c:pt>
                <c:pt idx="30">
                  <c:v>0.42950989272383661</c:v>
                </c:pt>
                <c:pt idx="31">
                  <c:v>0.43589947876495305</c:v>
                </c:pt>
                <c:pt idx="32">
                  <c:v>0.44188633321446774</c:v>
                </c:pt>
                <c:pt idx="33">
                  <c:v>0.45257664092670485</c:v>
                </c:pt>
                <c:pt idx="34">
                  <c:v>0.46144279156314266</c:v>
                </c:pt>
                <c:pt idx="35">
                  <c:v>0.4683685913294145</c:v>
                </c:pt>
                <c:pt idx="36">
                  <c:v>0.4732622103415407</c:v>
                </c:pt>
                <c:pt idx="37">
                  <c:v>0.47605820871486232</c:v>
                </c:pt>
                <c:pt idx="38">
                  <c:v>0.47671899285003644</c:v>
                </c:pt>
                <c:pt idx="39">
                  <c:v>0.47523565661356643</c:v>
                </c:pt>
                <c:pt idx="40">
                  <c:v>0.4716281811015447</c:v>
                </c:pt>
                <c:pt idx="41">
                  <c:v>0.4659449867230383</c:v>
                </c:pt>
                <c:pt idx="42">
                  <c:v>0.45826185163943134</c:v>
                </c:pt>
                <c:pt idx="43">
                  <c:v>0.44868023033123866</c:v>
                </c:pt>
                <c:pt idx="44">
                  <c:v>0.43732502444533783</c:v>
                </c:pt>
                <c:pt idx="45">
                  <c:v>0.41729024606533222</c:v>
                </c:pt>
                <c:pt idx="46">
                  <c:v>0.3941590586735389</c:v>
                </c:pt>
                <c:pt idx="47">
                  <c:v>0.36855657644927425</c:v>
                </c:pt>
                <c:pt idx="48">
                  <c:v>0.34114278638422091</c:v>
                </c:pt>
                <c:pt idx="49">
                  <c:v>0.31258461152001421</c:v>
                </c:pt>
                <c:pt idx="50">
                  <c:v>0.28352957696594688</c:v>
                </c:pt>
                <c:pt idx="51">
                  <c:v>0.2545824842968657</c:v>
                </c:pt>
                <c:pt idx="52">
                  <c:v>0.22628618712213816</c:v>
                </c:pt>
                <c:pt idx="53">
                  <c:v>0.19036422119501004</c:v>
                </c:pt>
                <c:pt idx="54">
                  <c:v>0.1572857123309408</c:v>
                </c:pt>
                <c:pt idx="55">
                  <c:v>0.12763503040231469</c:v>
                </c:pt>
                <c:pt idx="56">
                  <c:v>0.10172487484810437</c:v>
                </c:pt>
                <c:pt idx="57">
                  <c:v>7.9627138248048263E-2</c:v>
                </c:pt>
                <c:pt idx="58">
                  <c:v>6.1216954038488959E-2</c:v>
                </c:pt>
                <c:pt idx="59">
                  <c:v>3.9895037520050081E-2</c:v>
                </c:pt>
                <c:pt idx="60">
                  <c:v>2.4966837596401704E-2</c:v>
                </c:pt>
                <c:pt idx="61">
                  <c:v>1.5003952894498259E-2</c:v>
                </c:pt>
                <c:pt idx="62">
                  <c:v>8.6585535047320455E-3</c:v>
                </c:pt>
                <c:pt idx="63">
                  <c:v>4.798245837523381E-3</c:v>
                </c:pt>
                <c:pt idx="64">
                  <c:v>2.5533899385621296E-3</c:v>
                </c:pt>
                <c:pt idx="65">
                  <c:v>6.4029325899630585E-4</c:v>
                </c:pt>
                <c:pt idx="66">
                  <c:v>1.365308221819025E-4</c:v>
                </c:pt>
                <c:pt idx="67">
                  <c:v>2.4755543784105235E-5</c:v>
                </c:pt>
                <c:pt idx="68">
                  <c:v>3.8168423705221397E-6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B1F1-492A-A914-DCC81D931875}"/>
            </c:ext>
          </c:extLst>
        </c:ser>
        <c:ser>
          <c:idx val="4"/>
          <c:order val="3"/>
          <c:tx>
            <c:v>GDra</c:v>
          </c:tx>
          <c:spPr>
            <a:ln w="12700">
              <a:solidFill>
                <a:srgbClr val="0000CC"/>
              </a:solidFill>
            </a:ln>
          </c:spPr>
          <c:marker>
            <c:symbol val="star"/>
            <c:size val="3"/>
            <c:spPr>
              <a:ln>
                <a:solidFill>
                  <a:srgbClr val="0000CC"/>
                </a:solidFill>
              </a:ln>
            </c:spPr>
          </c:marker>
          <c:xVal>
            <c:numRef>
              <c:f>[1]TRH5hP4!$L$13:$L$80</c:f>
              <c:numCache>
                <c:formatCode>General</c:formatCode>
                <c:ptCount val="68"/>
                <c:pt idx="0">
                  <c:v>1.684636118598383E-2</c:v>
                </c:pt>
                <c:pt idx="1">
                  <c:v>3.3692722371967659E-2</c:v>
                </c:pt>
                <c:pt idx="2">
                  <c:v>5.0539083557951489E-2</c:v>
                </c:pt>
                <c:pt idx="3">
                  <c:v>6.7385444743935319E-2</c:v>
                </c:pt>
                <c:pt idx="4">
                  <c:v>8.4231805929919149E-2</c:v>
                </c:pt>
                <c:pt idx="5">
                  <c:v>0.10107816711590298</c:v>
                </c:pt>
                <c:pt idx="6">
                  <c:v>0.11792452830188681</c:v>
                </c:pt>
                <c:pt idx="7">
                  <c:v>0.13477088948787064</c:v>
                </c:pt>
                <c:pt idx="8">
                  <c:v>0.15161725067385445</c:v>
                </c:pt>
                <c:pt idx="9">
                  <c:v>0.1684636118598383</c:v>
                </c:pt>
                <c:pt idx="10">
                  <c:v>0.18530997304582211</c:v>
                </c:pt>
                <c:pt idx="11">
                  <c:v>0.20215633423180596</c:v>
                </c:pt>
                <c:pt idx="12">
                  <c:v>0.21900269541778977</c:v>
                </c:pt>
                <c:pt idx="13">
                  <c:v>0.23584905660377362</c:v>
                </c:pt>
                <c:pt idx="14">
                  <c:v>0.25269541778975746</c:v>
                </c:pt>
                <c:pt idx="15">
                  <c:v>0.26954177897574128</c:v>
                </c:pt>
                <c:pt idx="16">
                  <c:v>0.28638814016172509</c:v>
                </c:pt>
                <c:pt idx="17">
                  <c:v>0.30323450134770891</c:v>
                </c:pt>
                <c:pt idx="18">
                  <c:v>0.32008086253369278</c:v>
                </c:pt>
                <c:pt idx="19">
                  <c:v>0.33692722371967659</c:v>
                </c:pt>
                <c:pt idx="20">
                  <c:v>0.36500449236298294</c:v>
                </c:pt>
                <c:pt idx="21">
                  <c:v>0.39308176100628933</c:v>
                </c:pt>
                <c:pt idx="22">
                  <c:v>0.42115902964959573</c:v>
                </c:pt>
                <c:pt idx="23">
                  <c:v>0.44923629829290213</c:v>
                </c:pt>
                <c:pt idx="24">
                  <c:v>0.47731356693620847</c:v>
                </c:pt>
                <c:pt idx="25">
                  <c:v>0.50539083557951492</c:v>
                </c:pt>
                <c:pt idx="26">
                  <c:v>0.5334681042228212</c:v>
                </c:pt>
                <c:pt idx="27">
                  <c:v>0.5615453728661276</c:v>
                </c:pt>
                <c:pt idx="28">
                  <c:v>0.589622641509434</c:v>
                </c:pt>
                <c:pt idx="29">
                  <c:v>0.61769991015274039</c:v>
                </c:pt>
                <c:pt idx="30">
                  <c:v>0.64577717879604679</c:v>
                </c:pt>
                <c:pt idx="31">
                  <c:v>0.67385444743935319</c:v>
                </c:pt>
                <c:pt idx="32">
                  <c:v>0.73000898472596587</c:v>
                </c:pt>
                <c:pt idx="33">
                  <c:v>0.78616352201257866</c:v>
                </c:pt>
                <c:pt idx="34">
                  <c:v>0.84231805929919146</c:v>
                </c:pt>
                <c:pt idx="35">
                  <c:v>0.89847259658580425</c:v>
                </c:pt>
                <c:pt idx="36">
                  <c:v>0.95462713387241693</c:v>
                </c:pt>
                <c:pt idx="37">
                  <c:v>1.0107816711590298</c:v>
                </c:pt>
                <c:pt idx="38">
                  <c:v>1.0669362084456424</c:v>
                </c:pt>
                <c:pt idx="39">
                  <c:v>1.1230907457322552</c:v>
                </c:pt>
                <c:pt idx="40">
                  <c:v>1.179245283018868</c:v>
                </c:pt>
                <c:pt idx="41">
                  <c:v>1.2353998203054808</c:v>
                </c:pt>
                <c:pt idx="42">
                  <c:v>1.2915543575920936</c:v>
                </c:pt>
                <c:pt idx="43">
                  <c:v>1.3477088948787064</c:v>
                </c:pt>
                <c:pt idx="44">
                  <c:v>1.4319407008086256</c:v>
                </c:pt>
                <c:pt idx="45">
                  <c:v>1.5161725067385445</c:v>
                </c:pt>
                <c:pt idx="46">
                  <c:v>1.6004043126684637</c:v>
                </c:pt>
                <c:pt idx="47">
                  <c:v>1.6846361185983829</c:v>
                </c:pt>
                <c:pt idx="48">
                  <c:v>1.7688679245283021</c:v>
                </c:pt>
                <c:pt idx="49">
                  <c:v>1.8530997304582213</c:v>
                </c:pt>
                <c:pt idx="50">
                  <c:v>1.9373315363881403</c:v>
                </c:pt>
                <c:pt idx="51">
                  <c:v>2.0215633423180597</c:v>
                </c:pt>
                <c:pt idx="52">
                  <c:v>2.1338724168912848</c:v>
                </c:pt>
                <c:pt idx="53">
                  <c:v>2.2461814914645104</c:v>
                </c:pt>
                <c:pt idx="54">
                  <c:v>2.358490566037736</c:v>
                </c:pt>
                <c:pt idx="55">
                  <c:v>2.4707996406109616</c:v>
                </c:pt>
                <c:pt idx="56">
                  <c:v>2.5831087151841872</c:v>
                </c:pt>
                <c:pt idx="57">
                  <c:v>2.6954177897574128</c:v>
                </c:pt>
                <c:pt idx="58">
                  <c:v>2.8638814016172511</c:v>
                </c:pt>
                <c:pt idx="59">
                  <c:v>3.0323450134770891</c:v>
                </c:pt>
                <c:pt idx="60">
                  <c:v>3.2008086253369274</c:v>
                </c:pt>
                <c:pt idx="61">
                  <c:v>3.3692722371967658</c:v>
                </c:pt>
                <c:pt idx="62">
                  <c:v>3.5377358490566042</c:v>
                </c:pt>
                <c:pt idx="63">
                  <c:v>3.7061994609164426</c:v>
                </c:pt>
                <c:pt idx="64">
                  <c:v>4.0431266846361194</c:v>
                </c:pt>
                <c:pt idx="65">
                  <c:v>4.3800539083557952</c:v>
                </c:pt>
                <c:pt idx="66">
                  <c:v>4.716981132075472</c:v>
                </c:pt>
                <c:pt idx="67">
                  <c:v>5.0539083557951487</c:v>
                </c:pt>
              </c:numCache>
            </c:numRef>
          </c:xVal>
          <c:yVal>
            <c:numRef>
              <c:f>[1]TRH5hP4!$P$13:$P$80</c:f>
              <c:numCache>
                <c:formatCode>General</c:formatCode>
                <c:ptCount val="68"/>
                <c:pt idx="0">
                  <c:v>8.6987516900036387E-32</c:v>
                </c:pt>
                <c:pt idx="1">
                  <c:v>1.5995879359028233E-15</c:v>
                </c:pt>
                <c:pt idx="2">
                  <c:v>3.8144878185873978E-10</c:v>
                </c:pt>
                <c:pt idx="3">
                  <c:v>1.7662106343692299E-7</c:v>
                </c:pt>
                <c:pt idx="4">
                  <c:v>6.7874067485225252E-6</c:v>
                </c:pt>
                <c:pt idx="5">
                  <c:v>7.5465771776813908E-5</c:v>
                </c:pt>
                <c:pt idx="6">
                  <c:v>4.1406439704236574E-4</c:v>
                </c:pt>
                <c:pt idx="7">
                  <c:v>1.4633046287316593E-3</c:v>
                </c:pt>
                <c:pt idx="8">
                  <c:v>3.8607263908634433E-3</c:v>
                </c:pt>
                <c:pt idx="9">
                  <c:v>8.3071913560594998E-3</c:v>
                </c:pt>
                <c:pt idx="10">
                  <c:v>1.5419157378107312E-2</c:v>
                </c:pt>
                <c:pt idx="11">
                  <c:v>2.5627028693855521E-2</c:v>
                </c:pt>
                <c:pt idx="12">
                  <c:v>3.913486213561318E-2</c:v>
                </c:pt>
                <c:pt idx="13">
                  <c:v>5.5928964008034307E-2</c:v>
                </c:pt>
                <c:pt idx="14">
                  <c:v>7.581505128068633E-2</c:v>
                </c:pt>
                <c:pt idx="15">
                  <c:v>9.846649918263399E-2</c:v>
                </c:pt>
                <c:pt idx="16">
                  <c:v>0.1234721790420741</c:v>
                </c:pt>
                <c:pt idx="17">
                  <c:v>0.15037782084027904</c:v>
                </c:pt>
                <c:pt idx="18">
                  <c:v>0.17871862580379011</c:v>
                </c:pt>
                <c:pt idx="19">
                  <c:v>0.20804308765286963</c:v>
                </c:pt>
                <c:pt idx="20">
                  <c:v>0.25797416975608328</c:v>
                </c:pt>
                <c:pt idx="21">
                  <c:v>0.30777907412852251</c:v>
                </c:pt>
                <c:pt idx="22">
                  <c:v>0.35610138375686151</c:v>
                </c:pt>
                <c:pt idx="23">
                  <c:v>0.40192384961986721</c:v>
                </c:pt>
                <c:pt idx="24">
                  <c:v>0.44453133611008333</c:v>
                </c:pt>
                <c:pt idx="25">
                  <c:v>0.48346216321013169</c:v>
                </c:pt>
                <c:pt idx="26">
                  <c:v>0.51845839553670137</c:v>
                </c:pt>
                <c:pt idx="27">
                  <c:v>0.54942034754050217</c:v>
                </c:pt>
                <c:pt idx="28">
                  <c:v>0.57636745370904541</c:v>
                </c:pt>
                <c:pt idx="29">
                  <c:v>0.59940593730252778</c:v>
                </c:pt>
                <c:pt idx="30">
                  <c:v>0.61870285037068473</c:v>
                </c:pt>
                <c:pt idx="31">
                  <c:v>0.63446568942802839</c:v>
                </c:pt>
                <c:pt idx="32">
                  <c:v>0.65633094800542857</c:v>
                </c:pt>
                <c:pt idx="33">
                  <c:v>0.666963314647808</c:v>
                </c:pt>
                <c:pt idx="34">
                  <c:v>0.66830118180040188</c:v>
                </c:pt>
                <c:pt idx="35">
                  <c:v>0.66213097988324343</c:v>
                </c:pt>
                <c:pt idx="36">
                  <c:v>0.65003206045549444</c:v>
                </c:pt>
                <c:pt idx="37">
                  <c:v>0.63336307166986627</c:v>
                </c:pt>
                <c:pt idx="38">
                  <c:v>0.61327036159318637</c:v>
                </c:pt>
                <c:pt idx="39">
                  <c:v>0.5907069675845994</c:v>
                </c:pt>
                <c:pt idx="40">
                  <c:v>0.56645566650776846</c:v>
                </c:pt>
                <c:pt idx="41">
                  <c:v>0.54115250938072312</c:v>
                </c:pt>
                <c:pt idx="42">
                  <c:v>0.51530900043692829</c:v>
                </c:pt>
                <c:pt idx="43">
                  <c:v>0.48933208248351567</c:v>
                </c:pt>
                <c:pt idx="44">
                  <c:v>0.4507962948899914</c:v>
                </c:pt>
                <c:pt idx="45">
                  <c:v>0.41345280147996116</c:v>
                </c:pt>
                <c:pt idx="46">
                  <c:v>0.37781814045418882</c:v>
                </c:pt>
                <c:pt idx="47">
                  <c:v>0.34420806574063301</c:v>
                </c:pt>
                <c:pt idx="48">
                  <c:v>0.31279245739230255</c:v>
                </c:pt>
                <c:pt idx="49">
                  <c:v>0.28363670578205513</c:v>
                </c:pt>
                <c:pt idx="50">
                  <c:v>0.25673268653165454</c:v>
                </c:pt>
                <c:pt idx="51">
                  <c:v>0.23202180301399192</c:v>
                </c:pt>
                <c:pt idx="52">
                  <c:v>0.20232322841618613</c:v>
                </c:pt>
                <c:pt idx="53">
                  <c:v>0.17608578995897517</c:v>
                </c:pt>
                <c:pt idx="54">
                  <c:v>0.15300707224646057</c:v>
                </c:pt>
                <c:pt idx="55">
                  <c:v>0.13277769892970945</c:v>
                </c:pt>
                <c:pt idx="56">
                  <c:v>0.11509606573194618</c:v>
                </c:pt>
                <c:pt idx="57">
                  <c:v>9.9677058283682909E-2</c:v>
                </c:pt>
                <c:pt idx="58">
                  <c:v>8.0220009128386172E-2</c:v>
                </c:pt>
                <c:pt idx="59">
                  <c:v>6.4473465930018639E-2</c:v>
                </c:pt>
                <c:pt idx="60">
                  <c:v>5.1763136379621405E-2</c:v>
                </c:pt>
                <c:pt idx="61">
                  <c:v>4.1524270183273489E-2</c:v>
                </c:pt>
                <c:pt idx="62">
                  <c:v>3.3289226472145342E-2</c:v>
                </c:pt>
                <c:pt idx="63">
                  <c:v>2.667395064925077E-2</c:v>
                </c:pt>
                <c:pt idx="64">
                  <c:v>1.7107486142455174E-2</c:v>
                </c:pt>
                <c:pt idx="65">
                  <c:v>1.0961853997130238E-2</c:v>
                </c:pt>
                <c:pt idx="66">
                  <c:v>7.0204746633026165E-3</c:v>
                </c:pt>
                <c:pt idx="67">
                  <c:v>4.4952765775929842E-3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B1F1-492A-A914-DCC81D931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39304112"/>
        <c:axId val="-1839297584"/>
      </c:scatterChart>
      <c:valAx>
        <c:axId val="-1839304112"/>
        <c:scaling>
          <c:orientation val="minMax"/>
        </c:scaling>
        <c:delete val="0"/>
        <c:axPos val="b"/>
        <c:majorGridlines>
          <c:spPr>
            <a:ln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 lang="es-CO"/>
                </a:pPr>
                <a:r>
                  <a:rPr lang="el-GR"/>
                  <a:t>θ =(</a:t>
                </a:r>
                <a:r>
                  <a:rPr lang="es-CO"/>
                  <a:t>t/TRHt)</a:t>
                </a:r>
              </a:p>
            </c:rich>
          </c:tx>
          <c:layout>
            <c:manualLayout>
              <c:xMode val="edge"/>
              <c:yMode val="edge"/>
              <c:x val="0.37836399983682589"/>
              <c:y val="0.9343077804929327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/>
            </a:pPr>
            <a:endParaRPr lang="es-MX"/>
          </a:p>
        </c:txPr>
        <c:crossAx val="-1839297584"/>
        <c:crosses val="autoZero"/>
        <c:crossBetween val="midCat"/>
      </c:valAx>
      <c:valAx>
        <c:axId val="-1839297584"/>
        <c:scaling>
          <c:orientation val="minMax"/>
          <c:min val="0"/>
        </c:scaling>
        <c:delete val="0"/>
        <c:axPos val="l"/>
        <c:majorGridlines>
          <c:spPr>
            <a:ln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 lang="es-CO"/>
                </a:pPr>
                <a:r>
                  <a:rPr lang="es-CO"/>
                  <a:t>E(</a:t>
                </a:r>
                <a:r>
                  <a:rPr lang="el-GR"/>
                  <a:t>θ)</a:t>
                </a:r>
              </a:p>
            </c:rich>
          </c:tx>
          <c:layout>
            <c:manualLayout>
              <c:xMode val="edge"/>
              <c:yMode val="edge"/>
              <c:x val="2.8880819949319812E-2"/>
              <c:y val="0.3676963224424533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/>
            </a:pPr>
            <a:endParaRPr lang="es-MX"/>
          </a:p>
        </c:txPr>
        <c:crossAx val="-183930411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17385282798199445"/>
          <c:y val="0.86279874498446363"/>
          <c:w val="0.77148672478114688"/>
          <c:h val="5.8946812682897365E-2"/>
        </c:manualLayout>
      </c:layout>
      <c:overlay val="0"/>
      <c:txPr>
        <a:bodyPr/>
        <a:lstStyle/>
        <a:p>
          <a:pPr>
            <a:defRPr lang="es-CO"/>
          </a:pPr>
          <a:endParaRPr lang="es-MX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Tahoma" pitchFamily="34" charset="0"/>
          <a:ea typeface="Arial"/>
          <a:cs typeface="Arial"/>
        </a:defRPr>
      </a:pPr>
      <a:endParaRPr lang="es-MX"/>
    </a:p>
  </c:txPr>
  <c:printSettings>
    <c:headerFooter alignWithMargins="0"/>
    <c:pageMargins b="1" l="0.75000000000001465" r="0.75000000000001465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CO"/>
            </a:pPr>
            <a:r>
              <a:rPr lang="es-MX"/>
              <a:t>TRH 5,8</a:t>
            </a:r>
            <a:r>
              <a:rPr lang="es-MX" baseline="0"/>
              <a:t> y 10</a:t>
            </a:r>
            <a:r>
              <a:rPr lang="es-MX"/>
              <a:t> h. Efuente</a:t>
            </a:r>
          </a:p>
        </c:rich>
      </c:tx>
      <c:layout>
        <c:manualLayout>
          <c:xMode val="edge"/>
          <c:yMode val="edge"/>
          <c:x val="0.31227422276441863"/>
          <c:y val="3.38029057843182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623877290568038"/>
          <c:y val="0.15627956341522894"/>
          <c:w val="0.70763985751784053"/>
          <c:h val="0.58385892388451444"/>
        </c:manualLayout>
      </c:layout>
      <c:scatterChart>
        <c:scatterStyle val="lineMarker"/>
        <c:varyColors val="0"/>
        <c:ser>
          <c:idx val="0"/>
          <c:order val="0"/>
          <c:tx>
            <c:v>5h</c:v>
          </c:tx>
          <c:spPr>
            <a:ln w="19050">
              <a:solidFill>
                <a:schemeClr val="tx1"/>
              </a:solidFill>
              <a:prstDash val="sysDash"/>
            </a:ln>
          </c:spPr>
          <c:marker>
            <c:symbol val="none"/>
          </c:marker>
          <c:xVal>
            <c:numRef>
              <c:f>'[1]TRH 5hE'!$L$12:$L$80</c:f>
              <c:numCache>
                <c:formatCode>General</c:formatCode>
                <c:ptCount val="69"/>
                <c:pt idx="0">
                  <c:v>0</c:v>
                </c:pt>
                <c:pt idx="1">
                  <c:v>9.7125097125097121E-3</c:v>
                </c:pt>
                <c:pt idx="2">
                  <c:v>1.9425019425019424E-2</c:v>
                </c:pt>
                <c:pt idx="3">
                  <c:v>2.913752913752914E-2</c:v>
                </c:pt>
                <c:pt idx="4">
                  <c:v>3.8850038850038848E-2</c:v>
                </c:pt>
                <c:pt idx="5">
                  <c:v>4.856254856254856E-2</c:v>
                </c:pt>
                <c:pt idx="6">
                  <c:v>5.8275058275058279E-2</c:v>
                </c:pt>
                <c:pt idx="7">
                  <c:v>6.7987567987567984E-2</c:v>
                </c:pt>
                <c:pt idx="8">
                  <c:v>7.7700077700077697E-2</c:v>
                </c:pt>
                <c:pt idx="9">
                  <c:v>8.7412587412587409E-2</c:v>
                </c:pt>
                <c:pt idx="10">
                  <c:v>9.7125097125097121E-2</c:v>
                </c:pt>
                <c:pt idx="11">
                  <c:v>0.10683760683760683</c:v>
                </c:pt>
                <c:pt idx="12">
                  <c:v>0.11655011655011656</c:v>
                </c:pt>
                <c:pt idx="13">
                  <c:v>0.12626262626262627</c:v>
                </c:pt>
                <c:pt idx="14">
                  <c:v>0.13597513597513597</c:v>
                </c:pt>
                <c:pt idx="15">
                  <c:v>0.14568764568764569</c:v>
                </c:pt>
                <c:pt idx="16">
                  <c:v>0.15540015540015539</c:v>
                </c:pt>
                <c:pt idx="17">
                  <c:v>0.16511266511266512</c:v>
                </c:pt>
                <c:pt idx="18">
                  <c:v>0.17482517482517482</c:v>
                </c:pt>
                <c:pt idx="19">
                  <c:v>0.18453768453768454</c:v>
                </c:pt>
                <c:pt idx="20">
                  <c:v>0.19425019425019424</c:v>
                </c:pt>
                <c:pt idx="21">
                  <c:v>0.21043771043771045</c:v>
                </c:pt>
                <c:pt idx="22">
                  <c:v>0.22662522662522663</c:v>
                </c:pt>
                <c:pt idx="23">
                  <c:v>0.24281274281274282</c:v>
                </c:pt>
                <c:pt idx="24">
                  <c:v>0.25900025900025903</c:v>
                </c:pt>
                <c:pt idx="25">
                  <c:v>0.27518777518777521</c:v>
                </c:pt>
                <c:pt idx="26">
                  <c:v>0.29137529137529139</c:v>
                </c:pt>
                <c:pt idx="27">
                  <c:v>0.30756280756280757</c:v>
                </c:pt>
                <c:pt idx="28">
                  <c:v>0.32375032375032375</c:v>
                </c:pt>
                <c:pt idx="29">
                  <c:v>0.33993783993783994</c:v>
                </c:pt>
                <c:pt idx="30">
                  <c:v>0.35612535612535612</c:v>
                </c:pt>
                <c:pt idx="31">
                  <c:v>0.3723128723128723</c:v>
                </c:pt>
                <c:pt idx="32">
                  <c:v>0.38850038850038848</c:v>
                </c:pt>
                <c:pt idx="33">
                  <c:v>0.4208754208754209</c:v>
                </c:pt>
                <c:pt idx="34">
                  <c:v>0.45325045325045327</c:v>
                </c:pt>
                <c:pt idx="35">
                  <c:v>0.48562548562548563</c:v>
                </c:pt>
                <c:pt idx="36">
                  <c:v>0.51800051800051805</c:v>
                </c:pt>
                <c:pt idx="37">
                  <c:v>0.55037555037555042</c:v>
                </c:pt>
                <c:pt idx="38">
                  <c:v>0.58275058275058278</c:v>
                </c:pt>
                <c:pt idx="39">
                  <c:v>0.61512561512561514</c:v>
                </c:pt>
                <c:pt idx="40">
                  <c:v>0.64750064750064751</c:v>
                </c:pt>
                <c:pt idx="41">
                  <c:v>0.67987567987567987</c:v>
                </c:pt>
                <c:pt idx="42">
                  <c:v>0.71225071225071224</c:v>
                </c:pt>
                <c:pt idx="43">
                  <c:v>0.7446257446257446</c:v>
                </c:pt>
                <c:pt idx="44">
                  <c:v>0.77700077700077697</c:v>
                </c:pt>
                <c:pt idx="45">
                  <c:v>0.82556332556332557</c:v>
                </c:pt>
                <c:pt idx="46">
                  <c:v>0.87412587412587417</c:v>
                </c:pt>
                <c:pt idx="47">
                  <c:v>0.92268842268842266</c:v>
                </c:pt>
                <c:pt idx="48">
                  <c:v>0.97125097125097126</c:v>
                </c:pt>
                <c:pt idx="49">
                  <c:v>1.0198135198135199</c:v>
                </c:pt>
                <c:pt idx="50">
                  <c:v>1.0683760683760684</c:v>
                </c:pt>
                <c:pt idx="51">
                  <c:v>1.1169386169386168</c:v>
                </c:pt>
                <c:pt idx="52">
                  <c:v>1.1655011655011656</c:v>
                </c:pt>
                <c:pt idx="53">
                  <c:v>1.2302512302512303</c:v>
                </c:pt>
                <c:pt idx="54">
                  <c:v>1.295001295001295</c:v>
                </c:pt>
                <c:pt idx="55">
                  <c:v>1.3597513597513597</c:v>
                </c:pt>
                <c:pt idx="56">
                  <c:v>1.4245014245014245</c:v>
                </c:pt>
                <c:pt idx="57">
                  <c:v>1.4892514892514892</c:v>
                </c:pt>
                <c:pt idx="58">
                  <c:v>1.5540015540015539</c:v>
                </c:pt>
                <c:pt idx="59">
                  <c:v>1.6511266511266511</c:v>
                </c:pt>
                <c:pt idx="60">
                  <c:v>1.7482517482517483</c:v>
                </c:pt>
                <c:pt idx="61">
                  <c:v>1.8453768453768453</c:v>
                </c:pt>
                <c:pt idx="62">
                  <c:v>1.9425019425019425</c:v>
                </c:pt>
                <c:pt idx="63">
                  <c:v>2.0396270396270397</c:v>
                </c:pt>
                <c:pt idx="64">
                  <c:v>2.1367521367521367</c:v>
                </c:pt>
                <c:pt idx="65">
                  <c:v>2.3310023310023311</c:v>
                </c:pt>
                <c:pt idx="66">
                  <c:v>2.5252525252525251</c:v>
                </c:pt>
                <c:pt idx="67">
                  <c:v>2.7195027195027195</c:v>
                </c:pt>
                <c:pt idx="68">
                  <c:v>2.9137529137529139</c:v>
                </c:pt>
              </c:numCache>
            </c:numRef>
          </c:xVal>
          <c:yVal>
            <c:numRef>
              <c:f>'[1]TRH 5hE'!$M$12:$M$80</c:f>
              <c:numCache>
                <c:formatCode>General</c:formatCode>
                <c:ptCount val="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9.9648655448996096E-3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9.9648655448996096E-3</c:v>
                </c:pt>
                <c:pt idx="20">
                  <c:v>2.6572974786398952E-2</c:v>
                </c:pt>
                <c:pt idx="21">
                  <c:v>8.0549329821271831E-2</c:v>
                </c:pt>
                <c:pt idx="22">
                  <c:v>0.27569461340888907</c:v>
                </c:pt>
                <c:pt idx="23">
                  <c:v>0.54972841589362842</c:v>
                </c:pt>
                <c:pt idx="24">
                  <c:v>0.81130613644724314</c:v>
                </c:pt>
                <c:pt idx="25">
                  <c:v>0.98984331079336108</c:v>
                </c:pt>
                <c:pt idx="26">
                  <c:v>1.093643993552732</c:v>
                </c:pt>
                <c:pt idx="27">
                  <c:v>1.1434683212772303</c:v>
                </c:pt>
                <c:pt idx="28">
                  <c:v>1.1725325124498538</c:v>
                </c:pt>
                <c:pt idx="29">
                  <c:v>1.1310122393461057</c:v>
                </c:pt>
                <c:pt idx="30">
                  <c:v>1.1393162939668553</c:v>
                </c:pt>
                <c:pt idx="31">
                  <c:v>1.1517723758979794</c:v>
                </c:pt>
                <c:pt idx="32">
                  <c:v>1.1144041301046061</c:v>
                </c:pt>
                <c:pt idx="33">
                  <c:v>1.0604277750697333</c:v>
                </c:pt>
                <c:pt idx="34">
                  <c:v>1.018907501965985</c:v>
                </c:pt>
                <c:pt idx="35">
                  <c:v>0.97323520155186172</c:v>
                </c:pt>
                <c:pt idx="36">
                  <c:v>0.95662709231036236</c:v>
                </c:pt>
                <c:pt idx="37">
                  <c:v>0.89849870996511461</c:v>
                </c:pt>
                <c:pt idx="38">
                  <c:v>0.88189060072361536</c:v>
                </c:pt>
                <c:pt idx="39">
                  <c:v>0.82791424568874239</c:v>
                </c:pt>
                <c:pt idx="40">
                  <c:v>0.83621830030949207</c:v>
                </c:pt>
                <c:pt idx="41">
                  <c:v>0.78639397258499411</c:v>
                </c:pt>
                <c:pt idx="42">
                  <c:v>0.78224194527461921</c:v>
                </c:pt>
                <c:pt idx="43">
                  <c:v>0.76563383603311985</c:v>
                </c:pt>
                <c:pt idx="44">
                  <c:v>0.71580950830862189</c:v>
                </c:pt>
                <c:pt idx="45">
                  <c:v>0.67428923520487349</c:v>
                </c:pt>
                <c:pt idx="46">
                  <c:v>0.63692098941149999</c:v>
                </c:pt>
                <c:pt idx="47">
                  <c:v>0.60370477092850117</c:v>
                </c:pt>
                <c:pt idx="48">
                  <c:v>0.56633652513512767</c:v>
                </c:pt>
                <c:pt idx="49">
                  <c:v>0.54142436127287874</c:v>
                </c:pt>
                <c:pt idx="50">
                  <c:v>0.5165121974106297</c:v>
                </c:pt>
                <c:pt idx="51">
                  <c:v>0.47914395161725615</c:v>
                </c:pt>
                <c:pt idx="52">
                  <c:v>0.46253584237575679</c:v>
                </c:pt>
                <c:pt idx="53">
                  <c:v>0.40855948734088388</c:v>
                </c:pt>
                <c:pt idx="54">
                  <c:v>0.40025543272013431</c:v>
                </c:pt>
                <c:pt idx="55">
                  <c:v>0.37949529616826005</c:v>
                </c:pt>
                <c:pt idx="56">
                  <c:v>0.28399866802963875</c:v>
                </c:pt>
                <c:pt idx="57">
                  <c:v>0.29645474996076332</c:v>
                </c:pt>
                <c:pt idx="58">
                  <c:v>0.3006067772711381</c:v>
                </c:pt>
                <c:pt idx="59">
                  <c:v>0.25078244954664014</c:v>
                </c:pt>
                <c:pt idx="60">
                  <c:v>0.20926217644289177</c:v>
                </c:pt>
                <c:pt idx="61">
                  <c:v>0.17189393064951825</c:v>
                </c:pt>
                <c:pt idx="62">
                  <c:v>0.15528582140801889</c:v>
                </c:pt>
                <c:pt idx="63">
                  <c:v>0.16774190333914341</c:v>
                </c:pt>
                <c:pt idx="64">
                  <c:v>0.13867771216651953</c:v>
                </c:pt>
                <c:pt idx="65">
                  <c:v>8.4701357131646671E-2</c:v>
                </c:pt>
                <c:pt idx="66">
                  <c:v>5.5637165959022808E-2</c:v>
                </c:pt>
                <c:pt idx="67">
                  <c:v>3.4877029407148624E-2</c:v>
                </c:pt>
                <c:pt idx="68">
                  <c:v>2.242094747602412E-2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E74-48B8-BD90-E202D8A80003}"/>
            </c:ext>
          </c:extLst>
        </c:ser>
        <c:ser>
          <c:idx val="1"/>
          <c:order val="1"/>
          <c:tx>
            <c:v>8h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'[1]TRH 8hE'!$L$11:$L$81</c:f>
              <c:numCache>
                <c:formatCode>General</c:formatCode>
                <c:ptCount val="71"/>
                <c:pt idx="0">
                  <c:v>0</c:v>
                </c:pt>
                <c:pt idx="1">
                  <c:v>1.0157646676418008E-2</c:v>
                </c:pt>
                <c:pt idx="2">
                  <c:v>2.0315293352836016E-2</c:v>
                </c:pt>
                <c:pt idx="3">
                  <c:v>3.0472940029254023E-2</c:v>
                </c:pt>
                <c:pt idx="4">
                  <c:v>4.0630586705672031E-2</c:v>
                </c:pt>
                <c:pt idx="5">
                  <c:v>5.0788233382090035E-2</c:v>
                </c:pt>
                <c:pt idx="6">
                  <c:v>6.0945880058508047E-2</c:v>
                </c:pt>
                <c:pt idx="7">
                  <c:v>7.1103526734926051E-2</c:v>
                </c:pt>
                <c:pt idx="8">
                  <c:v>8.1261173411344062E-2</c:v>
                </c:pt>
                <c:pt idx="9">
                  <c:v>9.1418820087762059E-2</c:v>
                </c:pt>
                <c:pt idx="10">
                  <c:v>0.10157646676418007</c:v>
                </c:pt>
                <c:pt idx="11">
                  <c:v>0.11173411344059808</c:v>
                </c:pt>
                <c:pt idx="12">
                  <c:v>0.12189176011701609</c:v>
                </c:pt>
                <c:pt idx="13">
                  <c:v>0.1422070534698521</c:v>
                </c:pt>
                <c:pt idx="14">
                  <c:v>0.16252234682268812</c:v>
                </c:pt>
                <c:pt idx="15">
                  <c:v>0.18283764017552412</c:v>
                </c:pt>
                <c:pt idx="16">
                  <c:v>0.20315293352836014</c:v>
                </c:pt>
                <c:pt idx="17">
                  <c:v>0.22346822688119616</c:v>
                </c:pt>
                <c:pt idx="18">
                  <c:v>0.24378352023403219</c:v>
                </c:pt>
                <c:pt idx="19">
                  <c:v>0.27425646026328621</c:v>
                </c:pt>
                <c:pt idx="20">
                  <c:v>0.3047294002925402</c:v>
                </c:pt>
                <c:pt idx="21">
                  <c:v>0.33520234032179425</c:v>
                </c:pt>
                <c:pt idx="22">
                  <c:v>0.36567528035104824</c:v>
                </c:pt>
                <c:pt idx="23">
                  <c:v>0.39614822038030229</c:v>
                </c:pt>
                <c:pt idx="24">
                  <c:v>0.42662116040955633</c:v>
                </c:pt>
                <c:pt idx="25">
                  <c:v>0.45709410043881032</c:v>
                </c:pt>
                <c:pt idx="26">
                  <c:v>0.48756704046806437</c:v>
                </c:pt>
                <c:pt idx="27">
                  <c:v>0.51803998049731836</c:v>
                </c:pt>
                <c:pt idx="28">
                  <c:v>0.54851292052657241</c:v>
                </c:pt>
                <c:pt idx="29">
                  <c:v>0.57898586055582646</c:v>
                </c:pt>
                <c:pt idx="30">
                  <c:v>0.6094588005850804</c:v>
                </c:pt>
                <c:pt idx="31">
                  <c:v>0.6500893872907525</c:v>
                </c:pt>
                <c:pt idx="32">
                  <c:v>0.69071997399642449</c:v>
                </c:pt>
                <c:pt idx="33">
                  <c:v>0.73135056070209647</c:v>
                </c:pt>
                <c:pt idx="34">
                  <c:v>0.77198114740776858</c:v>
                </c:pt>
                <c:pt idx="35">
                  <c:v>0.81261173411344056</c:v>
                </c:pt>
                <c:pt idx="36">
                  <c:v>0.85324232081911267</c:v>
                </c:pt>
                <c:pt idx="37">
                  <c:v>0.89387290752478465</c:v>
                </c:pt>
                <c:pt idx="38">
                  <c:v>0.93450349423045664</c:v>
                </c:pt>
                <c:pt idx="39">
                  <c:v>0.97513408093612874</c:v>
                </c:pt>
                <c:pt idx="40">
                  <c:v>1.0360799609946367</c:v>
                </c:pt>
                <c:pt idx="41">
                  <c:v>1.0970258410531448</c:v>
                </c:pt>
                <c:pt idx="42">
                  <c:v>1.1579717211116529</c:v>
                </c:pt>
                <c:pt idx="43">
                  <c:v>1.2189176011701608</c:v>
                </c:pt>
                <c:pt idx="44">
                  <c:v>1.2798634812286689</c:v>
                </c:pt>
                <c:pt idx="45">
                  <c:v>1.340809361287177</c:v>
                </c:pt>
                <c:pt idx="46">
                  <c:v>1.4017552413456851</c:v>
                </c:pt>
                <c:pt idx="47">
                  <c:v>1.4627011214041929</c:v>
                </c:pt>
                <c:pt idx="48">
                  <c:v>1.5845928815212091</c:v>
                </c:pt>
                <c:pt idx="49">
                  <c:v>1.7064846416382253</c:v>
                </c:pt>
                <c:pt idx="50">
                  <c:v>1.8283764017552413</c:v>
                </c:pt>
                <c:pt idx="51">
                  <c:v>1.9502681618722575</c:v>
                </c:pt>
                <c:pt idx="52">
                  <c:v>2.0721599219892735</c:v>
                </c:pt>
                <c:pt idx="53">
                  <c:v>2.1940516821062896</c:v>
                </c:pt>
                <c:pt idx="54">
                  <c:v>2.3159434422233058</c:v>
                </c:pt>
                <c:pt idx="55">
                  <c:v>2.4378352023403216</c:v>
                </c:pt>
                <c:pt idx="56">
                  <c:v>2.5597269624573378</c:v>
                </c:pt>
                <c:pt idx="57">
                  <c:v>2.681618722574354</c:v>
                </c:pt>
                <c:pt idx="58">
                  <c:v>2.8035104826913702</c:v>
                </c:pt>
                <c:pt idx="59">
                  <c:v>2.9254022428083859</c:v>
                </c:pt>
                <c:pt idx="60">
                  <c:v>2.986348122866894</c:v>
                </c:pt>
                <c:pt idx="61">
                  <c:v>3.0472940029254021</c:v>
                </c:pt>
                <c:pt idx="62">
                  <c:v>3.1082398829839102</c:v>
                </c:pt>
                <c:pt idx="63">
                  <c:v>3.1691857630424183</c:v>
                </c:pt>
                <c:pt idx="64">
                  <c:v>3.2301316431009264</c:v>
                </c:pt>
                <c:pt idx="65">
                  <c:v>3.2910775231594345</c:v>
                </c:pt>
                <c:pt idx="66">
                  <c:v>3.3520234032179426</c:v>
                </c:pt>
                <c:pt idx="67">
                  <c:v>3.4129692832764507</c:v>
                </c:pt>
                <c:pt idx="68">
                  <c:v>3.4739151633349583</c:v>
                </c:pt>
                <c:pt idx="69">
                  <c:v>3.5348610433934664</c:v>
                </c:pt>
                <c:pt idx="70">
                  <c:v>3.5958069234519745</c:v>
                </c:pt>
              </c:numCache>
            </c:numRef>
          </c:xVal>
          <c:yVal>
            <c:numRef>
              <c:f>'[1]TRH 8hE'!$M$11:$M$81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4.5506874904967754E-3</c:v>
                </c:pt>
                <c:pt idx="18">
                  <c:v>1.3601378601269995E-2</c:v>
                </c:pt>
                <c:pt idx="19">
                  <c:v>4.980414304436287E-2</c:v>
                </c:pt>
                <c:pt idx="20">
                  <c:v>0.14936174526286825</c:v>
                </c:pt>
                <c:pt idx="21">
                  <c:v>0.2398686563706004</c:v>
                </c:pt>
                <c:pt idx="22">
                  <c:v>0.37562902303219869</c:v>
                </c:pt>
                <c:pt idx="23">
                  <c:v>0.50686404413841035</c:v>
                </c:pt>
                <c:pt idx="24">
                  <c:v>0.74218201301851416</c:v>
                </c:pt>
                <c:pt idx="25">
                  <c:v>0.92772118078936494</c:v>
                </c:pt>
                <c:pt idx="26">
                  <c:v>1.06800689300635</c:v>
                </c:pt>
                <c:pt idx="27">
                  <c:v>1.1358870763371491</c:v>
                </c:pt>
                <c:pt idx="28">
                  <c:v>1.1449377674479222</c:v>
                </c:pt>
                <c:pt idx="29">
                  <c:v>1.1494631130033088</c:v>
                </c:pt>
                <c:pt idx="30">
                  <c:v>1.1223110396709892</c:v>
                </c:pt>
                <c:pt idx="31">
                  <c:v>1.0951589663386696</c:v>
                </c:pt>
                <c:pt idx="32">
                  <c:v>1.0544308563401901</c:v>
                </c:pt>
                <c:pt idx="33">
                  <c:v>1.0001267096755508</c:v>
                </c:pt>
                <c:pt idx="34">
                  <c:v>0.94582256301091161</c:v>
                </c:pt>
                <c:pt idx="35">
                  <c:v>0.90056910745704533</c:v>
                </c:pt>
                <c:pt idx="36">
                  <c:v>0.87341703412472582</c:v>
                </c:pt>
                <c:pt idx="37">
                  <c:v>0.82363823301547312</c:v>
                </c:pt>
                <c:pt idx="38">
                  <c:v>0.75575804968467386</c:v>
                </c:pt>
                <c:pt idx="39">
                  <c:v>0.71050459413080791</c:v>
                </c:pt>
                <c:pt idx="40">
                  <c:v>0.71502993968619444</c:v>
                </c:pt>
                <c:pt idx="41">
                  <c:v>0.72860597635235425</c:v>
                </c:pt>
                <c:pt idx="42">
                  <c:v>0.66525113857694174</c:v>
                </c:pt>
                <c:pt idx="43">
                  <c:v>0.54759215413688977</c:v>
                </c:pt>
                <c:pt idx="44">
                  <c:v>0.44803455191838443</c:v>
                </c:pt>
                <c:pt idx="45">
                  <c:v>0.40278109636451837</c:v>
                </c:pt>
                <c:pt idx="46">
                  <c:v>0.33037556747833263</c:v>
                </c:pt>
                <c:pt idx="47">
                  <c:v>0.30774883970139955</c:v>
                </c:pt>
                <c:pt idx="48">
                  <c:v>0.25344469303676026</c:v>
                </c:pt>
                <c:pt idx="49">
                  <c:v>0.18556450970596111</c:v>
                </c:pt>
                <c:pt idx="50">
                  <c:v>0.14936174526286825</c:v>
                </c:pt>
                <c:pt idx="51">
                  <c:v>0.12220967193054863</c:v>
                </c:pt>
                <c:pt idx="52">
                  <c:v>9.0532253042842348E-2</c:v>
                </c:pt>
                <c:pt idx="53">
                  <c:v>6.7905525265909303E-2</c:v>
                </c:pt>
                <c:pt idx="54">
                  <c:v>5.8854834155136086E-2</c:v>
                </c:pt>
                <c:pt idx="55">
                  <c:v>4.980414304436287E-2</c:v>
                </c:pt>
                <c:pt idx="56">
                  <c:v>3.6228106378203041E-2</c:v>
                </c:pt>
                <c:pt idx="57">
                  <c:v>3.170276082281643E-2</c:v>
                </c:pt>
                <c:pt idx="58">
                  <c:v>2.2652069712043213E-2</c:v>
                </c:pt>
                <c:pt idx="59">
                  <c:v>1.8126724156656601E-2</c:v>
                </c:pt>
                <c:pt idx="60">
                  <c:v>1.3601378601269995E-2</c:v>
                </c:pt>
                <c:pt idx="61">
                  <c:v>1.3601378601269995E-2</c:v>
                </c:pt>
                <c:pt idx="62">
                  <c:v>9.0760330458833811E-3</c:v>
                </c:pt>
                <c:pt idx="63">
                  <c:v>9.0760330458833811E-3</c:v>
                </c:pt>
                <c:pt idx="64">
                  <c:v>4.5506874904967754E-3</c:v>
                </c:pt>
                <c:pt idx="65">
                  <c:v>1.3601378601269995E-2</c:v>
                </c:pt>
                <c:pt idx="66">
                  <c:v>1.3601378601269995E-2</c:v>
                </c:pt>
                <c:pt idx="67">
                  <c:v>4.5506874904967754E-3</c:v>
                </c:pt>
                <c:pt idx="68">
                  <c:v>2.2652069712043213E-2</c:v>
                </c:pt>
                <c:pt idx="69">
                  <c:v>2.5341935110166065E-5</c:v>
                </c:pt>
                <c:pt idx="70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E74-48B8-BD90-E202D8A80003}"/>
            </c:ext>
          </c:extLst>
        </c:ser>
        <c:ser>
          <c:idx val="2"/>
          <c:order val="2"/>
          <c:tx>
            <c:v>10h</c:v>
          </c:tx>
          <c:spPr>
            <a:ln w="19050">
              <a:solidFill>
                <a:srgbClr val="FF0000"/>
              </a:solidFill>
            </a:ln>
          </c:spPr>
          <c:marker>
            <c:symbol val="square"/>
            <c:size val="4"/>
            <c:spPr>
              <a:noFill/>
              <a:ln>
                <a:solidFill>
                  <a:prstClr val="black"/>
                </a:solidFill>
              </a:ln>
            </c:spPr>
          </c:marker>
          <c:xVal>
            <c:numRef>
              <c:f>'[1]TRH 10hE'!$L$12:$L$88</c:f>
              <c:numCache>
                <c:formatCode>General</c:formatCode>
                <c:ptCount val="77"/>
                <c:pt idx="0">
                  <c:v>0</c:v>
                </c:pt>
                <c:pt idx="1">
                  <c:v>8.1380208333333339E-3</c:v>
                </c:pt>
                <c:pt idx="2">
                  <c:v>1.6276041666666668E-2</c:v>
                </c:pt>
                <c:pt idx="3">
                  <c:v>2.44140625E-2</c:v>
                </c:pt>
                <c:pt idx="4">
                  <c:v>3.2552083333333336E-2</c:v>
                </c:pt>
                <c:pt idx="5">
                  <c:v>4.0690104166666671E-2</c:v>
                </c:pt>
                <c:pt idx="6">
                  <c:v>4.8828125E-2</c:v>
                </c:pt>
                <c:pt idx="7">
                  <c:v>5.6966145833333336E-2</c:v>
                </c:pt>
                <c:pt idx="8">
                  <c:v>6.5104166666666671E-2</c:v>
                </c:pt>
                <c:pt idx="9">
                  <c:v>7.32421875E-2</c:v>
                </c:pt>
                <c:pt idx="10">
                  <c:v>8.1380208333333343E-2</c:v>
                </c:pt>
                <c:pt idx="11">
                  <c:v>8.9518229166666671E-2</c:v>
                </c:pt>
                <c:pt idx="12">
                  <c:v>9.765625E-2</c:v>
                </c:pt>
                <c:pt idx="13">
                  <c:v>0.11393229166666667</c:v>
                </c:pt>
                <c:pt idx="14">
                  <c:v>0.13020833333333334</c:v>
                </c:pt>
                <c:pt idx="15">
                  <c:v>0.146484375</c:v>
                </c:pt>
                <c:pt idx="16">
                  <c:v>0.16276041666666669</c:v>
                </c:pt>
                <c:pt idx="17">
                  <c:v>0.17903645833333334</c:v>
                </c:pt>
                <c:pt idx="18">
                  <c:v>0.1953125</c:v>
                </c:pt>
                <c:pt idx="19">
                  <c:v>0.2197265625</c:v>
                </c:pt>
                <c:pt idx="20">
                  <c:v>0.244140625</c:v>
                </c:pt>
                <c:pt idx="21">
                  <c:v>0.2685546875</c:v>
                </c:pt>
                <c:pt idx="22">
                  <c:v>0.29296875</c:v>
                </c:pt>
                <c:pt idx="23">
                  <c:v>0.3173828125</c:v>
                </c:pt>
                <c:pt idx="24">
                  <c:v>0.341796875</c:v>
                </c:pt>
                <c:pt idx="25">
                  <c:v>0.3662109375</c:v>
                </c:pt>
                <c:pt idx="26">
                  <c:v>0.390625</c:v>
                </c:pt>
                <c:pt idx="27">
                  <c:v>0.4150390625</c:v>
                </c:pt>
                <c:pt idx="28">
                  <c:v>0.439453125</c:v>
                </c:pt>
                <c:pt idx="29">
                  <c:v>0.4638671875</c:v>
                </c:pt>
                <c:pt idx="30">
                  <c:v>0.48828125</c:v>
                </c:pt>
                <c:pt idx="31">
                  <c:v>0.52083333333333337</c:v>
                </c:pt>
                <c:pt idx="32">
                  <c:v>0.55338541666666674</c:v>
                </c:pt>
                <c:pt idx="33">
                  <c:v>0.5859375</c:v>
                </c:pt>
                <c:pt idx="34">
                  <c:v>0.61848958333333337</c:v>
                </c:pt>
                <c:pt idx="35">
                  <c:v>0.65104166666666674</c:v>
                </c:pt>
                <c:pt idx="36">
                  <c:v>0.68359375</c:v>
                </c:pt>
                <c:pt idx="37">
                  <c:v>0.71614583333333337</c:v>
                </c:pt>
                <c:pt idx="38">
                  <c:v>0.74869791666666674</c:v>
                </c:pt>
                <c:pt idx="39">
                  <c:v>0.78125</c:v>
                </c:pt>
                <c:pt idx="40">
                  <c:v>0.830078125</c:v>
                </c:pt>
                <c:pt idx="41">
                  <c:v>0.87890625</c:v>
                </c:pt>
                <c:pt idx="42">
                  <c:v>0.927734375</c:v>
                </c:pt>
                <c:pt idx="43">
                  <c:v>0.9765625</c:v>
                </c:pt>
                <c:pt idx="44">
                  <c:v>1.025390625</c:v>
                </c:pt>
                <c:pt idx="45">
                  <c:v>1.07421875</c:v>
                </c:pt>
                <c:pt idx="46">
                  <c:v>1.123046875</c:v>
                </c:pt>
                <c:pt idx="47">
                  <c:v>1.171875</c:v>
                </c:pt>
                <c:pt idx="48">
                  <c:v>1.220703125</c:v>
                </c:pt>
                <c:pt idx="49">
                  <c:v>1.26953125</c:v>
                </c:pt>
                <c:pt idx="50">
                  <c:v>1.318359375</c:v>
                </c:pt>
                <c:pt idx="51">
                  <c:v>1.3671875</c:v>
                </c:pt>
                <c:pt idx="52">
                  <c:v>1.46484375</c:v>
                </c:pt>
                <c:pt idx="53">
                  <c:v>1.5625</c:v>
                </c:pt>
                <c:pt idx="54">
                  <c:v>1.66015625</c:v>
                </c:pt>
                <c:pt idx="55">
                  <c:v>1.7578125</c:v>
                </c:pt>
                <c:pt idx="56">
                  <c:v>1.85546875</c:v>
                </c:pt>
                <c:pt idx="57">
                  <c:v>1.953125</c:v>
                </c:pt>
                <c:pt idx="58">
                  <c:v>2.05078125</c:v>
                </c:pt>
                <c:pt idx="59">
                  <c:v>2.1484375</c:v>
                </c:pt>
                <c:pt idx="60">
                  <c:v>2.24609375</c:v>
                </c:pt>
                <c:pt idx="61">
                  <c:v>2.34375</c:v>
                </c:pt>
                <c:pt idx="62">
                  <c:v>2.44140625</c:v>
                </c:pt>
                <c:pt idx="63">
                  <c:v>2.5390625</c:v>
                </c:pt>
                <c:pt idx="64">
                  <c:v>2.63671875</c:v>
                </c:pt>
                <c:pt idx="65">
                  <c:v>2.734375</c:v>
                </c:pt>
                <c:pt idx="66">
                  <c:v>2.83203125</c:v>
                </c:pt>
                <c:pt idx="67">
                  <c:v>2.9296875</c:v>
                </c:pt>
                <c:pt idx="68">
                  <c:v>2.978515625</c:v>
                </c:pt>
                <c:pt idx="69">
                  <c:v>3.02734375</c:v>
                </c:pt>
                <c:pt idx="70">
                  <c:v>3.076171875</c:v>
                </c:pt>
                <c:pt idx="71">
                  <c:v>3.125</c:v>
                </c:pt>
                <c:pt idx="72">
                  <c:v>3.173828125</c:v>
                </c:pt>
                <c:pt idx="73">
                  <c:v>3.22265625</c:v>
                </c:pt>
                <c:pt idx="74">
                  <c:v>3.271484375</c:v>
                </c:pt>
                <c:pt idx="75">
                  <c:v>3.3203125</c:v>
                </c:pt>
                <c:pt idx="76">
                  <c:v>3.369140625</c:v>
                </c:pt>
              </c:numCache>
            </c:numRef>
          </c:xVal>
          <c:yVal>
            <c:numRef>
              <c:f>'[1]TRH 10hE'!$M$12:$M$88</c:f>
              <c:numCache>
                <c:formatCode>General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4.9778801109252712E-3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3.0464626278862653E-2</c:v>
                </c:pt>
                <c:pt idx="20">
                  <c:v>8.0243427388115351E-2</c:v>
                </c:pt>
                <c:pt idx="21">
                  <c:v>0.11192084627582162</c:v>
                </c:pt>
                <c:pt idx="22">
                  <c:v>0.19790241182816715</c:v>
                </c:pt>
                <c:pt idx="23">
                  <c:v>0.37439088848824492</c:v>
                </c:pt>
                <c:pt idx="24">
                  <c:v>0.45132176292981735</c:v>
                </c:pt>
                <c:pt idx="25">
                  <c:v>0.54182867403754953</c:v>
                </c:pt>
                <c:pt idx="26">
                  <c:v>0.61875954847912185</c:v>
                </c:pt>
                <c:pt idx="27">
                  <c:v>0.72736784180840053</c:v>
                </c:pt>
                <c:pt idx="28">
                  <c:v>0.79977337069458632</c:v>
                </c:pt>
                <c:pt idx="29">
                  <c:v>0.8857549362469318</c:v>
                </c:pt>
                <c:pt idx="30">
                  <c:v>0.89480562735770497</c:v>
                </c:pt>
                <c:pt idx="31">
                  <c:v>0.95816046513311759</c:v>
                </c:pt>
                <c:pt idx="32">
                  <c:v>0.98531253846543709</c:v>
                </c:pt>
                <c:pt idx="33">
                  <c:v>0.98531253846543709</c:v>
                </c:pt>
                <c:pt idx="34">
                  <c:v>0.96268581068850412</c:v>
                </c:pt>
                <c:pt idx="35">
                  <c:v>1.0169899573531436</c:v>
                </c:pt>
                <c:pt idx="36">
                  <c:v>1.0169899573531436</c:v>
                </c:pt>
                <c:pt idx="37">
                  <c:v>0.96268581068850412</c:v>
                </c:pt>
                <c:pt idx="38">
                  <c:v>0.9355337373561845</c:v>
                </c:pt>
                <c:pt idx="39">
                  <c:v>0.89480562735770497</c:v>
                </c:pt>
                <c:pt idx="40">
                  <c:v>0.86312820846999883</c:v>
                </c:pt>
                <c:pt idx="41">
                  <c:v>0.78167198847303987</c:v>
                </c:pt>
                <c:pt idx="42">
                  <c:v>0.84050148069306574</c:v>
                </c:pt>
                <c:pt idx="43">
                  <c:v>0.84050148069306574</c:v>
                </c:pt>
                <c:pt idx="44">
                  <c:v>0.76357060625149342</c:v>
                </c:pt>
                <c:pt idx="45">
                  <c:v>0.68211438625453447</c:v>
                </c:pt>
                <c:pt idx="46">
                  <c:v>0.5870821295914157</c:v>
                </c:pt>
                <c:pt idx="47">
                  <c:v>0.49204987292829677</c:v>
                </c:pt>
                <c:pt idx="48">
                  <c:v>0.46037245404059052</c:v>
                </c:pt>
                <c:pt idx="49">
                  <c:v>0.41964434404211109</c:v>
                </c:pt>
                <c:pt idx="50">
                  <c:v>0.3653401973774717</c:v>
                </c:pt>
                <c:pt idx="51">
                  <c:v>0.34723881515592531</c:v>
                </c:pt>
                <c:pt idx="52">
                  <c:v>0.27935863182512616</c:v>
                </c:pt>
                <c:pt idx="53">
                  <c:v>0.24315586738203326</c:v>
                </c:pt>
                <c:pt idx="54">
                  <c:v>0.18432637516200734</c:v>
                </c:pt>
                <c:pt idx="55">
                  <c:v>0.1707503384958475</c:v>
                </c:pt>
                <c:pt idx="56">
                  <c:v>0.14359826516352786</c:v>
                </c:pt>
                <c:pt idx="57">
                  <c:v>0.12097153738659484</c:v>
                </c:pt>
                <c:pt idx="58">
                  <c:v>0.11644619183120823</c:v>
                </c:pt>
                <c:pt idx="59">
                  <c:v>9.8344809609661799E-2</c:v>
                </c:pt>
                <c:pt idx="60">
                  <c:v>8.9294118498888575E-2</c:v>
                </c:pt>
                <c:pt idx="61">
                  <c:v>7.1192736277342128E-2</c:v>
                </c:pt>
                <c:pt idx="62">
                  <c:v>6.2142045166568932E-2</c:v>
                </c:pt>
                <c:pt idx="63">
                  <c:v>5.3091354055795709E-2</c:v>
                </c:pt>
                <c:pt idx="64">
                  <c:v>3.9515317389635873E-2</c:v>
                </c:pt>
                <c:pt idx="65">
                  <c:v>3.4989971834249262E-2</c:v>
                </c:pt>
                <c:pt idx="66">
                  <c:v>3.0464626278862653E-2</c:v>
                </c:pt>
                <c:pt idx="67">
                  <c:v>3.0464626278862653E-2</c:v>
                </c:pt>
                <c:pt idx="68">
                  <c:v>2.5939280723476042E-2</c:v>
                </c:pt>
                <c:pt idx="69">
                  <c:v>2.1413935168089437E-2</c:v>
                </c:pt>
                <c:pt idx="70">
                  <c:v>2.1413935168089437E-2</c:v>
                </c:pt>
                <c:pt idx="71">
                  <c:v>2.1413935168089437E-2</c:v>
                </c:pt>
                <c:pt idx="72">
                  <c:v>2.1413935168089437E-2</c:v>
                </c:pt>
                <c:pt idx="73">
                  <c:v>2.5939280723476042E-2</c:v>
                </c:pt>
                <c:pt idx="74">
                  <c:v>2.1413935168089437E-2</c:v>
                </c:pt>
                <c:pt idx="75">
                  <c:v>1.6888589612702821E-2</c:v>
                </c:pt>
                <c:pt idx="76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E74-48B8-BD90-E202D8A80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39311728"/>
        <c:axId val="-1839309552"/>
      </c:scatterChart>
      <c:valAx>
        <c:axId val="-1839311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CO" b="1" i="0" baseline="0"/>
                </a:pPr>
                <a:r>
                  <a:rPr lang="el-GR" b="1" i="0" baseline="0"/>
                  <a:t>θ =(</a:t>
                </a:r>
                <a:r>
                  <a:rPr lang="es-CO" b="1" i="0" baseline="0"/>
                  <a:t>t/TRHt)</a:t>
                </a:r>
              </a:p>
            </c:rich>
          </c:tx>
          <c:layout>
            <c:manualLayout>
              <c:xMode val="edge"/>
              <c:yMode val="edge"/>
              <c:x val="0.37836383128167111"/>
              <c:y val="0.9343077607102151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MX"/>
          </a:p>
        </c:txPr>
        <c:crossAx val="-1839309552"/>
        <c:crosses val="autoZero"/>
        <c:crossBetween val="midCat"/>
      </c:valAx>
      <c:valAx>
        <c:axId val="-1839309552"/>
        <c:scaling>
          <c:orientation val="minMax"/>
          <c:max val="1.2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CO" b="1" i="0" baseline="0"/>
                </a:pPr>
                <a:r>
                  <a:rPr lang="es-CO" b="1" i="0" baseline="0"/>
                  <a:t>E(</a:t>
                </a:r>
                <a:r>
                  <a:rPr lang="el-GR" b="1" i="0" baseline="0"/>
                  <a:t>θ)</a:t>
                </a:r>
              </a:p>
            </c:rich>
          </c:tx>
          <c:layout>
            <c:manualLayout>
              <c:xMode val="edge"/>
              <c:yMode val="edge"/>
              <c:x val="2.8881002550737611E-2"/>
              <c:y val="0.495774995338714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/>
            </a:pPr>
            <a:endParaRPr lang="es-MX"/>
          </a:p>
        </c:txPr>
        <c:crossAx val="-183931172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42852131159661438"/>
          <c:y val="0.83625001792810916"/>
          <c:w val="0.3159003364016118"/>
          <c:h val="6.5389326334208422E-2"/>
        </c:manualLayout>
      </c:layout>
      <c:overlay val="0"/>
      <c:txPr>
        <a:bodyPr/>
        <a:lstStyle/>
        <a:p>
          <a:pPr>
            <a:defRPr lang="es-CO"/>
          </a:pPr>
          <a:endParaRPr lang="es-MX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ahoma" pitchFamily="34" charset="0"/>
          <a:ea typeface="Arial"/>
          <a:cs typeface="Arial"/>
        </a:defRPr>
      </a:pPr>
      <a:endParaRPr lang="es-MX"/>
    </a:p>
  </c:txPr>
  <c:printSettings>
    <c:headerFooter alignWithMargins="0"/>
    <c:pageMargins b="1" l="0.75000000000001465" r="0.75000000000001465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CO"/>
            </a:pPr>
            <a:r>
              <a:rPr lang="es-MX"/>
              <a:t>TRH 5 h. Efuente</a:t>
            </a:r>
          </a:p>
        </c:rich>
      </c:tx>
      <c:layout>
        <c:manualLayout>
          <c:xMode val="edge"/>
          <c:yMode val="edge"/>
          <c:x val="0.31227424274668381"/>
          <c:y val="3.38029298061880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109384975527198"/>
          <c:y val="0.13000707756175023"/>
          <c:w val="0.7818918041605305"/>
          <c:h val="0.61817756793049972"/>
        </c:manualLayout>
      </c:layout>
      <c:scatterChart>
        <c:scatterStyle val="lineMarker"/>
        <c:varyColors val="0"/>
        <c:ser>
          <c:idx val="0"/>
          <c:order val="0"/>
          <c:tx>
            <c:v>Dato exp</c:v>
          </c:tx>
          <c:spPr>
            <a:ln w="15875">
              <a:solidFill>
                <a:schemeClr val="tx1"/>
              </a:solidFill>
              <a:prstDash val="solid"/>
            </a:ln>
          </c:spPr>
          <c:marker>
            <c:symbol val="triangle"/>
            <c:size val="4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trendline>
            <c:trendlineType val="log"/>
            <c:dispRSqr val="0"/>
            <c:dispEq val="0"/>
          </c:trendline>
          <c:xVal>
            <c:numRef>
              <c:f>'[1]TRH 5hE'!$L$12:$L$80</c:f>
              <c:numCache>
                <c:formatCode>General</c:formatCode>
                <c:ptCount val="69"/>
                <c:pt idx="0">
                  <c:v>0</c:v>
                </c:pt>
                <c:pt idx="1">
                  <c:v>9.7125097125097121E-3</c:v>
                </c:pt>
                <c:pt idx="2">
                  <c:v>1.9425019425019424E-2</c:v>
                </c:pt>
                <c:pt idx="3">
                  <c:v>2.913752913752914E-2</c:v>
                </c:pt>
                <c:pt idx="4">
                  <c:v>3.8850038850038848E-2</c:v>
                </c:pt>
                <c:pt idx="5">
                  <c:v>4.856254856254856E-2</c:v>
                </c:pt>
                <c:pt idx="6">
                  <c:v>5.8275058275058279E-2</c:v>
                </c:pt>
                <c:pt idx="7">
                  <c:v>6.7987567987567984E-2</c:v>
                </c:pt>
                <c:pt idx="8">
                  <c:v>7.7700077700077697E-2</c:v>
                </c:pt>
                <c:pt idx="9">
                  <c:v>8.7412587412587409E-2</c:v>
                </c:pt>
                <c:pt idx="10">
                  <c:v>9.7125097125097121E-2</c:v>
                </c:pt>
                <c:pt idx="11">
                  <c:v>0.10683760683760683</c:v>
                </c:pt>
                <c:pt idx="12">
                  <c:v>0.11655011655011656</c:v>
                </c:pt>
                <c:pt idx="13">
                  <c:v>0.12626262626262627</c:v>
                </c:pt>
                <c:pt idx="14">
                  <c:v>0.13597513597513597</c:v>
                </c:pt>
                <c:pt idx="15">
                  <c:v>0.14568764568764569</c:v>
                </c:pt>
                <c:pt idx="16">
                  <c:v>0.15540015540015539</c:v>
                </c:pt>
                <c:pt idx="17">
                  <c:v>0.16511266511266512</c:v>
                </c:pt>
                <c:pt idx="18">
                  <c:v>0.17482517482517482</c:v>
                </c:pt>
                <c:pt idx="19">
                  <c:v>0.18453768453768454</c:v>
                </c:pt>
                <c:pt idx="20">
                  <c:v>0.19425019425019424</c:v>
                </c:pt>
                <c:pt idx="21">
                  <c:v>0.21043771043771045</c:v>
                </c:pt>
                <c:pt idx="22">
                  <c:v>0.22662522662522663</c:v>
                </c:pt>
                <c:pt idx="23">
                  <c:v>0.24281274281274282</c:v>
                </c:pt>
                <c:pt idx="24">
                  <c:v>0.25900025900025903</c:v>
                </c:pt>
                <c:pt idx="25">
                  <c:v>0.27518777518777521</c:v>
                </c:pt>
                <c:pt idx="26">
                  <c:v>0.29137529137529139</c:v>
                </c:pt>
                <c:pt idx="27">
                  <c:v>0.30756280756280757</c:v>
                </c:pt>
                <c:pt idx="28">
                  <c:v>0.32375032375032375</c:v>
                </c:pt>
                <c:pt idx="29">
                  <c:v>0.33993783993783994</c:v>
                </c:pt>
                <c:pt idx="30">
                  <c:v>0.35612535612535612</c:v>
                </c:pt>
                <c:pt idx="31">
                  <c:v>0.3723128723128723</c:v>
                </c:pt>
                <c:pt idx="32">
                  <c:v>0.38850038850038848</c:v>
                </c:pt>
                <c:pt idx="33">
                  <c:v>0.4208754208754209</c:v>
                </c:pt>
                <c:pt idx="34">
                  <c:v>0.45325045325045327</c:v>
                </c:pt>
                <c:pt idx="35">
                  <c:v>0.48562548562548563</c:v>
                </c:pt>
                <c:pt idx="36">
                  <c:v>0.51800051800051805</c:v>
                </c:pt>
                <c:pt idx="37">
                  <c:v>0.55037555037555042</c:v>
                </c:pt>
                <c:pt idx="38">
                  <c:v>0.58275058275058278</c:v>
                </c:pt>
                <c:pt idx="39">
                  <c:v>0.61512561512561514</c:v>
                </c:pt>
                <c:pt idx="40">
                  <c:v>0.64750064750064751</c:v>
                </c:pt>
                <c:pt idx="41">
                  <c:v>0.67987567987567987</c:v>
                </c:pt>
                <c:pt idx="42">
                  <c:v>0.71225071225071224</c:v>
                </c:pt>
                <c:pt idx="43">
                  <c:v>0.7446257446257446</c:v>
                </c:pt>
                <c:pt idx="44">
                  <c:v>0.77700077700077697</c:v>
                </c:pt>
                <c:pt idx="45">
                  <c:v>0.82556332556332557</c:v>
                </c:pt>
                <c:pt idx="46">
                  <c:v>0.87412587412587417</c:v>
                </c:pt>
                <c:pt idx="47">
                  <c:v>0.92268842268842266</c:v>
                </c:pt>
                <c:pt idx="48">
                  <c:v>0.97125097125097126</c:v>
                </c:pt>
                <c:pt idx="49">
                  <c:v>1.0198135198135199</c:v>
                </c:pt>
                <c:pt idx="50">
                  <c:v>1.0683760683760684</c:v>
                </c:pt>
                <c:pt idx="51">
                  <c:v>1.1169386169386168</c:v>
                </c:pt>
                <c:pt idx="52">
                  <c:v>1.1655011655011656</c:v>
                </c:pt>
                <c:pt idx="53">
                  <c:v>1.2302512302512303</c:v>
                </c:pt>
                <c:pt idx="54">
                  <c:v>1.295001295001295</c:v>
                </c:pt>
                <c:pt idx="55">
                  <c:v>1.3597513597513597</c:v>
                </c:pt>
                <c:pt idx="56">
                  <c:v>1.4245014245014245</c:v>
                </c:pt>
                <c:pt idx="57">
                  <c:v>1.4892514892514892</c:v>
                </c:pt>
                <c:pt idx="58">
                  <c:v>1.5540015540015539</c:v>
                </c:pt>
                <c:pt idx="59">
                  <c:v>1.6511266511266511</c:v>
                </c:pt>
                <c:pt idx="60">
                  <c:v>1.7482517482517483</c:v>
                </c:pt>
                <c:pt idx="61">
                  <c:v>1.8453768453768453</c:v>
                </c:pt>
                <c:pt idx="62">
                  <c:v>1.9425019425019425</c:v>
                </c:pt>
                <c:pt idx="63">
                  <c:v>2.0396270396270397</c:v>
                </c:pt>
                <c:pt idx="64">
                  <c:v>2.1367521367521367</c:v>
                </c:pt>
                <c:pt idx="65">
                  <c:v>2.3310023310023311</c:v>
                </c:pt>
                <c:pt idx="66">
                  <c:v>2.5252525252525251</c:v>
                </c:pt>
                <c:pt idx="67">
                  <c:v>2.7195027195027195</c:v>
                </c:pt>
                <c:pt idx="68">
                  <c:v>2.9137529137529139</c:v>
                </c:pt>
              </c:numCache>
            </c:numRef>
          </c:xVal>
          <c:yVal>
            <c:numRef>
              <c:f>'[1]TRH 5hE'!$M$12:$M$80</c:f>
              <c:numCache>
                <c:formatCode>General</c:formatCode>
                <c:ptCount val="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9.9648655448996096E-3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9.9648655448996096E-3</c:v>
                </c:pt>
                <c:pt idx="20">
                  <c:v>2.6572974786398952E-2</c:v>
                </c:pt>
                <c:pt idx="21">
                  <c:v>8.0549329821271831E-2</c:v>
                </c:pt>
                <c:pt idx="22">
                  <c:v>0.27569461340888907</c:v>
                </c:pt>
                <c:pt idx="23">
                  <c:v>0.54972841589362842</c:v>
                </c:pt>
                <c:pt idx="24">
                  <c:v>0.81130613644724314</c:v>
                </c:pt>
                <c:pt idx="25">
                  <c:v>0.98984331079336108</c:v>
                </c:pt>
                <c:pt idx="26">
                  <c:v>1.093643993552732</c:v>
                </c:pt>
                <c:pt idx="27">
                  <c:v>1.1434683212772303</c:v>
                </c:pt>
                <c:pt idx="28">
                  <c:v>1.1725325124498538</c:v>
                </c:pt>
                <c:pt idx="29">
                  <c:v>1.1310122393461057</c:v>
                </c:pt>
                <c:pt idx="30">
                  <c:v>1.1393162939668553</c:v>
                </c:pt>
                <c:pt idx="31">
                  <c:v>1.1517723758979794</c:v>
                </c:pt>
                <c:pt idx="32">
                  <c:v>1.1144041301046061</c:v>
                </c:pt>
                <c:pt idx="33">
                  <c:v>1.0604277750697333</c:v>
                </c:pt>
                <c:pt idx="34">
                  <c:v>1.018907501965985</c:v>
                </c:pt>
                <c:pt idx="35">
                  <c:v>0.97323520155186172</c:v>
                </c:pt>
                <c:pt idx="36">
                  <c:v>0.95662709231036236</c:v>
                </c:pt>
                <c:pt idx="37">
                  <c:v>0.89849870996511461</c:v>
                </c:pt>
                <c:pt idx="38">
                  <c:v>0.88189060072361536</c:v>
                </c:pt>
                <c:pt idx="39">
                  <c:v>0.82791424568874239</c:v>
                </c:pt>
                <c:pt idx="40">
                  <c:v>0.83621830030949207</c:v>
                </c:pt>
                <c:pt idx="41">
                  <c:v>0.78639397258499411</c:v>
                </c:pt>
                <c:pt idx="42">
                  <c:v>0.78224194527461921</c:v>
                </c:pt>
                <c:pt idx="43">
                  <c:v>0.76563383603311985</c:v>
                </c:pt>
                <c:pt idx="44">
                  <c:v>0.71580950830862189</c:v>
                </c:pt>
                <c:pt idx="45">
                  <c:v>0.67428923520487349</c:v>
                </c:pt>
                <c:pt idx="46">
                  <c:v>0.63692098941149999</c:v>
                </c:pt>
                <c:pt idx="47">
                  <c:v>0.60370477092850117</c:v>
                </c:pt>
                <c:pt idx="48">
                  <c:v>0.56633652513512767</c:v>
                </c:pt>
                <c:pt idx="49">
                  <c:v>0.54142436127287874</c:v>
                </c:pt>
                <c:pt idx="50">
                  <c:v>0.5165121974106297</c:v>
                </c:pt>
                <c:pt idx="51">
                  <c:v>0.47914395161725615</c:v>
                </c:pt>
                <c:pt idx="52">
                  <c:v>0.46253584237575679</c:v>
                </c:pt>
                <c:pt idx="53">
                  <c:v>0.40855948734088388</c:v>
                </c:pt>
                <c:pt idx="54">
                  <c:v>0.40025543272013431</c:v>
                </c:pt>
                <c:pt idx="55">
                  <c:v>0.37949529616826005</c:v>
                </c:pt>
                <c:pt idx="56">
                  <c:v>0.28399866802963875</c:v>
                </c:pt>
                <c:pt idx="57">
                  <c:v>0.29645474996076332</c:v>
                </c:pt>
                <c:pt idx="58">
                  <c:v>0.3006067772711381</c:v>
                </c:pt>
                <c:pt idx="59">
                  <c:v>0.25078244954664014</c:v>
                </c:pt>
                <c:pt idx="60">
                  <c:v>0.20926217644289177</c:v>
                </c:pt>
                <c:pt idx="61">
                  <c:v>0.17189393064951825</c:v>
                </c:pt>
                <c:pt idx="62">
                  <c:v>0.15528582140801889</c:v>
                </c:pt>
                <c:pt idx="63">
                  <c:v>0.16774190333914341</c:v>
                </c:pt>
                <c:pt idx="64">
                  <c:v>0.13867771216651953</c:v>
                </c:pt>
                <c:pt idx="65">
                  <c:v>8.4701357131646671E-2</c:v>
                </c:pt>
                <c:pt idx="66">
                  <c:v>5.5637165959022808E-2</c:v>
                </c:pt>
                <c:pt idx="67">
                  <c:v>3.4877029407148624E-2</c:v>
                </c:pt>
                <c:pt idx="68">
                  <c:v>2.242094747602412E-2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D01E-47FF-BC6D-30DAC59AB100}"/>
            </c:ext>
          </c:extLst>
        </c:ser>
        <c:ser>
          <c:idx val="1"/>
          <c:order val="1"/>
          <c:tx>
            <c:v>T.S</c:v>
          </c:tx>
          <c:spPr>
            <a:ln w="12700"/>
          </c:spPr>
          <c:marker>
            <c:symbol val="squar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trendline>
            <c:trendlineType val="log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log"/>
            <c:dispRSqr val="0"/>
            <c:dispEq val="0"/>
          </c:trendline>
          <c:xVal>
            <c:numRef>
              <c:f>'[1]TRH 5hE'!$L$12:$L$80</c:f>
              <c:numCache>
                <c:formatCode>General</c:formatCode>
                <c:ptCount val="69"/>
                <c:pt idx="0">
                  <c:v>0</c:v>
                </c:pt>
                <c:pt idx="1">
                  <c:v>9.7125097125097121E-3</c:v>
                </c:pt>
                <c:pt idx="2">
                  <c:v>1.9425019425019424E-2</c:v>
                </c:pt>
                <c:pt idx="3">
                  <c:v>2.913752913752914E-2</c:v>
                </c:pt>
                <c:pt idx="4">
                  <c:v>3.8850038850038848E-2</c:v>
                </c:pt>
                <c:pt idx="5">
                  <c:v>4.856254856254856E-2</c:v>
                </c:pt>
                <c:pt idx="6">
                  <c:v>5.8275058275058279E-2</c:v>
                </c:pt>
                <c:pt idx="7">
                  <c:v>6.7987567987567984E-2</c:v>
                </c:pt>
                <c:pt idx="8">
                  <c:v>7.7700077700077697E-2</c:v>
                </c:pt>
                <c:pt idx="9">
                  <c:v>8.7412587412587409E-2</c:v>
                </c:pt>
                <c:pt idx="10">
                  <c:v>9.7125097125097121E-2</c:v>
                </c:pt>
                <c:pt idx="11">
                  <c:v>0.10683760683760683</c:v>
                </c:pt>
                <c:pt idx="12">
                  <c:v>0.11655011655011656</c:v>
                </c:pt>
                <c:pt idx="13">
                  <c:v>0.12626262626262627</c:v>
                </c:pt>
                <c:pt idx="14">
                  <c:v>0.13597513597513597</c:v>
                </c:pt>
                <c:pt idx="15">
                  <c:v>0.14568764568764569</c:v>
                </c:pt>
                <c:pt idx="16">
                  <c:v>0.15540015540015539</c:v>
                </c:pt>
                <c:pt idx="17">
                  <c:v>0.16511266511266512</c:v>
                </c:pt>
                <c:pt idx="18">
                  <c:v>0.17482517482517482</c:v>
                </c:pt>
                <c:pt idx="19">
                  <c:v>0.18453768453768454</c:v>
                </c:pt>
                <c:pt idx="20">
                  <c:v>0.19425019425019424</c:v>
                </c:pt>
                <c:pt idx="21">
                  <c:v>0.21043771043771045</c:v>
                </c:pt>
                <c:pt idx="22">
                  <c:v>0.22662522662522663</c:v>
                </c:pt>
                <c:pt idx="23">
                  <c:v>0.24281274281274282</c:v>
                </c:pt>
                <c:pt idx="24">
                  <c:v>0.25900025900025903</c:v>
                </c:pt>
                <c:pt idx="25">
                  <c:v>0.27518777518777521</c:v>
                </c:pt>
                <c:pt idx="26">
                  <c:v>0.29137529137529139</c:v>
                </c:pt>
                <c:pt idx="27">
                  <c:v>0.30756280756280757</c:v>
                </c:pt>
                <c:pt idx="28">
                  <c:v>0.32375032375032375</c:v>
                </c:pt>
                <c:pt idx="29">
                  <c:v>0.33993783993783994</c:v>
                </c:pt>
                <c:pt idx="30">
                  <c:v>0.35612535612535612</c:v>
                </c:pt>
                <c:pt idx="31">
                  <c:v>0.3723128723128723</c:v>
                </c:pt>
                <c:pt idx="32">
                  <c:v>0.38850038850038848</c:v>
                </c:pt>
                <c:pt idx="33">
                  <c:v>0.4208754208754209</c:v>
                </c:pt>
                <c:pt idx="34">
                  <c:v>0.45325045325045327</c:v>
                </c:pt>
                <c:pt idx="35">
                  <c:v>0.48562548562548563</c:v>
                </c:pt>
                <c:pt idx="36">
                  <c:v>0.51800051800051805</c:v>
                </c:pt>
                <c:pt idx="37">
                  <c:v>0.55037555037555042</c:v>
                </c:pt>
                <c:pt idx="38">
                  <c:v>0.58275058275058278</c:v>
                </c:pt>
                <c:pt idx="39">
                  <c:v>0.61512561512561514</c:v>
                </c:pt>
                <c:pt idx="40">
                  <c:v>0.64750064750064751</c:v>
                </c:pt>
                <c:pt idx="41">
                  <c:v>0.67987567987567987</c:v>
                </c:pt>
                <c:pt idx="42">
                  <c:v>0.71225071225071224</c:v>
                </c:pt>
                <c:pt idx="43">
                  <c:v>0.7446257446257446</c:v>
                </c:pt>
                <c:pt idx="44">
                  <c:v>0.77700077700077697</c:v>
                </c:pt>
                <c:pt idx="45">
                  <c:v>0.82556332556332557</c:v>
                </c:pt>
                <c:pt idx="46">
                  <c:v>0.87412587412587417</c:v>
                </c:pt>
                <c:pt idx="47">
                  <c:v>0.92268842268842266</c:v>
                </c:pt>
                <c:pt idx="48">
                  <c:v>0.97125097125097126</c:v>
                </c:pt>
                <c:pt idx="49">
                  <c:v>1.0198135198135199</c:v>
                </c:pt>
                <c:pt idx="50">
                  <c:v>1.0683760683760684</c:v>
                </c:pt>
                <c:pt idx="51">
                  <c:v>1.1169386169386168</c:v>
                </c:pt>
                <c:pt idx="52">
                  <c:v>1.1655011655011656</c:v>
                </c:pt>
                <c:pt idx="53">
                  <c:v>1.2302512302512303</c:v>
                </c:pt>
                <c:pt idx="54">
                  <c:v>1.295001295001295</c:v>
                </c:pt>
                <c:pt idx="55">
                  <c:v>1.3597513597513597</c:v>
                </c:pt>
                <c:pt idx="56">
                  <c:v>1.4245014245014245</c:v>
                </c:pt>
                <c:pt idx="57">
                  <c:v>1.4892514892514892</c:v>
                </c:pt>
                <c:pt idx="58">
                  <c:v>1.5540015540015539</c:v>
                </c:pt>
                <c:pt idx="59">
                  <c:v>1.6511266511266511</c:v>
                </c:pt>
                <c:pt idx="60">
                  <c:v>1.7482517482517483</c:v>
                </c:pt>
                <c:pt idx="61">
                  <c:v>1.8453768453768453</c:v>
                </c:pt>
                <c:pt idx="62">
                  <c:v>1.9425019425019425</c:v>
                </c:pt>
                <c:pt idx="63">
                  <c:v>2.0396270396270397</c:v>
                </c:pt>
                <c:pt idx="64">
                  <c:v>2.1367521367521367</c:v>
                </c:pt>
                <c:pt idx="65">
                  <c:v>2.3310023310023311</c:v>
                </c:pt>
                <c:pt idx="66">
                  <c:v>2.5252525252525251</c:v>
                </c:pt>
                <c:pt idx="67">
                  <c:v>2.7195027195027195</c:v>
                </c:pt>
                <c:pt idx="68">
                  <c:v>2.9137529137529139</c:v>
                </c:pt>
              </c:numCache>
            </c:numRef>
          </c:xVal>
          <c:yVal>
            <c:numRef>
              <c:f>'[1]TRH 5hE'!$Q$12:$Q$80</c:f>
              <c:numCache>
                <c:formatCode>General</c:formatCode>
                <c:ptCount val="69"/>
                <c:pt idx="0">
                  <c:v>0</c:v>
                </c:pt>
                <c:pt idx="1">
                  <c:v>6.1378113574190223E-3</c:v>
                </c:pt>
                <c:pt idx="2">
                  <c:v>1.878974767077346E-2</c:v>
                </c:pt>
                <c:pt idx="3">
                  <c:v>3.576984215349456E-2</c:v>
                </c:pt>
                <c:pt idx="4">
                  <c:v>5.6058947424251805E-2</c:v>
                </c:pt>
                <c:pt idx="5">
                  <c:v>7.8974888825242048E-2</c:v>
                </c:pt>
                <c:pt idx="6">
                  <c:v>0.10400580851622863</c:v>
                </c:pt>
                <c:pt idx="7">
                  <c:v>0.13074449375650574</c:v>
                </c:pt>
                <c:pt idx="8">
                  <c:v>0.15885543915236511</c:v>
                </c:pt>
                <c:pt idx="9">
                  <c:v>0.18805584201437189</c:v>
                </c:pt>
                <c:pt idx="10">
                  <c:v>0.2181035594239738</c:v>
                </c:pt>
                <c:pt idx="11">
                  <c:v>0.24878894239593183</c:v>
                </c:pt>
                <c:pt idx="12">
                  <c:v>0.27992900738097432</c:v>
                </c:pt>
                <c:pt idx="13">
                  <c:v>0.31136310525117461</c:v>
                </c:pt>
                <c:pt idx="14">
                  <c:v>0.34294959724153407</c:v>
                </c:pt>
                <c:pt idx="15">
                  <c:v>0.37456323527355229</c:v>
                </c:pt>
                <c:pt idx="16">
                  <c:v>0.40609305148441427</c:v>
                </c:pt>
                <c:pt idx="17">
                  <c:v>0.43744062626533986</c:v>
                </c:pt>
                <c:pt idx="18">
                  <c:v>0.46851864446396352</c:v>
                </c:pt>
                <c:pt idx="19">
                  <c:v>0.49924967556477479</c:v>
                </c:pt>
                <c:pt idx="20">
                  <c:v>0.52956513114480652</c:v>
                </c:pt>
                <c:pt idx="21">
                  <c:v>0.5790059327030781</c:v>
                </c:pt>
                <c:pt idx="22">
                  <c:v>0.62688885284841234</c:v>
                </c:pt>
                <c:pt idx="23">
                  <c:v>0.67302281112154727</c:v>
                </c:pt>
                <c:pt idx="24">
                  <c:v>0.71725664691435242</c:v>
                </c:pt>
                <c:pt idx="25">
                  <c:v>0.75947332404973589</c:v>
                </c:pt>
                <c:pt idx="26">
                  <c:v>0.79958506589582279</c:v>
                </c:pt>
                <c:pt idx="27">
                  <c:v>0.83752923143724278</c:v>
                </c:pt>
                <c:pt idx="28">
                  <c:v>0.8732647912040985</c:v>
                </c:pt>
                <c:pt idx="29">
                  <c:v>0.90676929576821086</c:v>
                </c:pt>
                <c:pt idx="30">
                  <c:v>0.93803625367053922</c:v>
                </c:pt>
                <c:pt idx="31">
                  <c:v>0.96707285327499726</c:v>
                </c:pt>
                <c:pt idx="32">
                  <c:v>0.99389797616425812</c:v>
                </c:pt>
                <c:pt idx="33">
                  <c:v>1.0410375734342217</c:v>
                </c:pt>
                <c:pt idx="34">
                  <c:v>1.0797790681262249</c:v>
                </c:pt>
                <c:pt idx="35">
                  <c:v>1.1105423049233669</c:v>
                </c:pt>
                <c:pt idx="36">
                  <c:v>1.1338115338894033</c:v>
                </c:pt>
                <c:pt idx="37">
                  <c:v>1.1501110584739025</c:v>
                </c:pt>
                <c:pt idx="38">
                  <c:v>1.159986393996721</c:v>
                </c:pt>
                <c:pt idx="39">
                  <c:v>1.1639897633340215</c:v>
                </c:pt>
                <c:pt idx="40">
                  <c:v>1.1626690282678449</c:v>
                </c:pt>
                <c:pt idx="41">
                  <c:v>1.1565593538408003</c:v>
                </c:pt>
                <c:pt idx="42">
                  <c:v>1.1461770517856025</c:v>
                </c:pt>
                <c:pt idx="43">
                  <c:v>1.1320151623648924</c:v>
                </c:pt>
                <c:pt idx="44">
                  <c:v>1.1145404215489665</c:v>
                </c:pt>
                <c:pt idx="45">
                  <c:v>1.0830679354100872</c:v>
                </c:pt>
                <c:pt idx="46">
                  <c:v>1.0464772240419546</c:v>
                </c:pt>
                <c:pt idx="47">
                  <c:v>1.0059745933222237</c:v>
                </c:pt>
                <c:pt idx="48">
                  <c:v>0.96262009000194948</c:v>
                </c:pt>
                <c:pt idx="49">
                  <c:v>0.91733446157708465</c:v>
                </c:pt>
                <c:pt idx="50">
                  <c:v>0.87090835843019854</c:v>
                </c:pt>
                <c:pt idx="51">
                  <c:v>0.82401280319320724</c:v>
                </c:pt>
                <c:pt idx="52">
                  <c:v>0.77721022524246974</c:v>
                </c:pt>
                <c:pt idx="53">
                  <c:v>0.71574233132666709</c:v>
                </c:pt>
                <c:pt idx="54">
                  <c:v>0.65612347813300176</c:v>
                </c:pt>
                <c:pt idx="55">
                  <c:v>0.59898966937462383</c:v>
                </c:pt>
                <c:pt idx="56">
                  <c:v>0.54478488300368422</c:v>
                </c:pt>
                <c:pt idx="57">
                  <c:v>0.49379594029431773</c:v>
                </c:pt>
                <c:pt idx="58">
                  <c:v>0.44618300819786921</c:v>
                </c:pt>
                <c:pt idx="59">
                  <c:v>0.38120255265971126</c:v>
                </c:pt>
                <c:pt idx="60">
                  <c:v>0.32382679415302384</c:v>
                </c:pt>
                <c:pt idx="61">
                  <c:v>0.27368620677955452</c:v>
                </c:pt>
                <c:pt idx="62">
                  <c:v>0.23025216234723248</c:v>
                </c:pt>
                <c:pt idx="63">
                  <c:v>0.19291207101156574</c:v>
                </c:pt>
                <c:pt idx="64">
                  <c:v>0.16102268026728708</c:v>
                </c:pt>
                <c:pt idx="65">
                  <c:v>0.11107565804067181</c:v>
                </c:pt>
                <c:pt idx="66">
                  <c:v>7.5744857648870206E-2</c:v>
                </c:pt>
                <c:pt idx="67">
                  <c:v>5.1148313012120881E-2</c:v>
                </c:pt>
                <c:pt idx="68">
                  <c:v>3.4248470245109949E-2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D01E-47FF-BC6D-30DAC59AB100}"/>
            </c:ext>
          </c:extLst>
        </c:ser>
        <c:ser>
          <c:idx val="3"/>
          <c:order val="2"/>
          <c:tx>
            <c:v>PD</c:v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'[1]TRH 5hE'!$L$12:$L$80</c:f>
              <c:numCache>
                <c:formatCode>General</c:formatCode>
                <c:ptCount val="69"/>
                <c:pt idx="0">
                  <c:v>0</c:v>
                </c:pt>
                <c:pt idx="1">
                  <c:v>9.7125097125097121E-3</c:v>
                </c:pt>
                <c:pt idx="2">
                  <c:v>1.9425019425019424E-2</c:v>
                </c:pt>
                <c:pt idx="3">
                  <c:v>2.913752913752914E-2</c:v>
                </c:pt>
                <c:pt idx="4">
                  <c:v>3.8850038850038848E-2</c:v>
                </c:pt>
                <c:pt idx="5">
                  <c:v>4.856254856254856E-2</c:v>
                </c:pt>
                <c:pt idx="6">
                  <c:v>5.8275058275058279E-2</c:v>
                </c:pt>
                <c:pt idx="7">
                  <c:v>6.7987567987567984E-2</c:v>
                </c:pt>
                <c:pt idx="8">
                  <c:v>7.7700077700077697E-2</c:v>
                </c:pt>
                <c:pt idx="9">
                  <c:v>8.7412587412587409E-2</c:v>
                </c:pt>
                <c:pt idx="10">
                  <c:v>9.7125097125097121E-2</c:v>
                </c:pt>
                <c:pt idx="11">
                  <c:v>0.10683760683760683</c:v>
                </c:pt>
                <c:pt idx="12">
                  <c:v>0.11655011655011656</c:v>
                </c:pt>
                <c:pt idx="13">
                  <c:v>0.12626262626262627</c:v>
                </c:pt>
                <c:pt idx="14">
                  <c:v>0.13597513597513597</c:v>
                </c:pt>
                <c:pt idx="15">
                  <c:v>0.14568764568764569</c:v>
                </c:pt>
                <c:pt idx="16">
                  <c:v>0.15540015540015539</c:v>
                </c:pt>
                <c:pt idx="17">
                  <c:v>0.16511266511266512</c:v>
                </c:pt>
                <c:pt idx="18">
                  <c:v>0.17482517482517482</c:v>
                </c:pt>
                <c:pt idx="19">
                  <c:v>0.18453768453768454</c:v>
                </c:pt>
                <c:pt idx="20">
                  <c:v>0.19425019425019424</c:v>
                </c:pt>
                <c:pt idx="21">
                  <c:v>0.21043771043771045</c:v>
                </c:pt>
                <c:pt idx="22">
                  <c:v>0.22662522662522663</c:v>
                </c:pt>
                <c:pt idx="23">
                  <c:v>0.24281274281274282</c:v>
                </c:pt>
                <c:pt idx="24">
                  <c:v>0.25900025900025903</c:v>
                </c:pt>
                <c:pt idx="25">
                  <c:v>0.27518777518777521</c:v>
                </c:pt>
                <c:pt idx="26">
                  <c:v>0.29137529137529139</c:v>
                </c:pt>
                <c:pt idx="27">
                  <c:v>0.30756280756280757</c:v>
                </c:pt>
                <c:pt idx="28">
                  <c:v>0.32375032375032375</c:v>
                </c:pt>
                <c:pt idx="29">
                  <c:v>0.33993783993783994</c:v>
                </c:pt>
                <c:pt idx="30">
                  <c:v>0.35612535612535612</c:v>
                </c:pt>
                <c:pt idx="31">
                  <c:v>0.3723128723128723</c:v>
                </c:pt>
                <c:pt idx="32">
                  <c:v>0.38850038850038848</c:v>
                </c:pt>
                <c:pt idx="33">
                  <c:v>0.4208754208754209</c:v>
                </c:pt>
                <c:pt idx="34">
                  <c:v>0.45325045325045327</c:v>
                </c:pt>
                <c:pt idx="35">
                  <c:v>0.48562548562548563</c:v>
                </c:pt>
                <c:pt idx="36">
                  <c:v>0.51800051800051805</c:v>
                </c:pt>
                <c:pt idx="37">
                  <c:v>0.55037555037555042</c:v>
                </c:pt>
                <c:pt idx="38">
                  <c:v>0.58275058275058278</c:v>
                </c:pt>
                <c:pt idx="39">
                  <c:v>0.61512561512561514</c:v>
                </c:pt>
                <c:pt idx="40">
                  <c:v>0.64750064750064751</c:v>
                </c:pt>
                <c:pt idx="41">
                  <c:v>0.67987567987567987</c:v>
                </c:pt>
                <c:pt idx="42">
                  <c:v>0.71225071225071224</c:v>
                </c:pt>
                <c:pt idx="43">
                  <c:v>0.7446257446257446</c:v>
                </c:pt>
                <c:pt idx="44">
                  <c:v>0.77700077700077697</c:v>
                </c:pt>
                <c:pt idx="45">
                  <c:v>0.82556332556332557</c:v>
                </c:pt>
                <c:pt idx="46">
                  <c:v>0.87412587412587417</c:v>
                </c:pt>
                <c:pt idx="47">
                  <c:v>0.92268842268842266</c:v>
                </c:pt>
                <c:pt idx="48">
                  <c:v>0.97125097125097126</c:v>
                </c:pt>
                <c:pt idx="49">
                  <c:v>1.0198135198135199</c:v>
                </c:pt>
                <c:pt idx="50">
                  <c:v>1.0683760683760684</c:v>
                </c:pt>
                <c:pt idx="51">
                  <c:v>1.1169386169386168</c:v>
                </c:pt>
                <c:pt idx="52">
                  <c:v>1.1655011655011656</c:v>
                </c:pt>
                <c:pt idx="53">
                  <c:v>1.2302512302512303</c:v>
                </c:pt>
                <c:pt idx="54">
                  <c:v>1.295001295001295</c:v>
                </c:pt>
                <c:pt idx="55">
                  <c:v>1.3597513597513597</c:v>
                </c:pt>
                <c:pt idx="56">
                  <c:v>1.4245014245014245</c:v>
                </c:pt>
                <c:pt idx="57">
                  <c:v>1.4892514892514892</c:v>
                </c:pt>
                <c:pt idx="58">
                  <c:v>1.5540015540015539</c:v>
                </c:pt>
                <c:pt idx="59">
                  <c:v>1.6511266511266511</c:v>
                </c:pt>
                <c:pt idx="60">
                  <c:v>1.7482517482517483</c:v>
                </c:pt>
                <c:pt idx="61">
                  <c:v>1.8453768453768453</c:v>
                </c:pt>
                <c:pt idx="62">
                  <c:v>1.9425019425019425</c:v>
                </c:pt>
                <c:pt idx="63">
                  <c:v>2.0396270396270397</c:v>
                </c:pt>
                <c:pt idx="64">
                  <c:v>2.1367521367521367</c:v>
                </c:pt>
                <c:pt idx="65">
                  <c:v>2.3310023310023311</c:v>
                </c:pt>
                <c:pt idx="66">
                  <c:v>2.5252525252525251</c:v>
                </c:pt>
                <c:pt idx="67">
                  <c:v>2.7195027195027195</c:v>
                </c:pt>
                <c:pt idx="68">
                  <c:v>2.9137529137529139</c:v>
                </c:pt>
              </c:numCache>
            </c:numRef>
          </c:xVal>
          <c:yVal>
            <c:numRef>
              <c:f>'[1]TRH 5hE'!$N$12:$N$80</c:f>
              <c:numCache>
                <c:formatCode>General</c:formatCode>
                <c:ptCount val="69"/>
                <c:pt idx="0">
                  <c:v>0.17256063929519819</c:v>
                </c:pt>
                <c:pt idx="1">
                  <c:v>0.17703945699569976</c:v>
                </c:pt>
                <c:pt idx="2">
                  <c:v>0.18158910380631371</c:v>
                </c:pt>
                <c:pt idx="3">
                  <c:v>0.18620909536076305</c:v>
                </c:pt>
                <c:pt idx="4">
                  <c:v>0.19089888146717707</c:v>
                </c:pt>
                <c:pt idx="5">
                  <c:v>0.19565784499074806</c:v>
                </c:pt>
                <c:pt idx="6">
                  <c:v>0.20048530079284985</c:v>
                </c:pt>
                <c:pt idx="7">
                  <c:v>0.20538049472965192</c:v>
                </c:pt>
                <c:pt idx="8">
                  <c:v>0.21034260271323277</c:v>
                </c:pt>
                <c:pt idx="9">
                  <c:v>0.21537072983815972</c:v>
                </c:pt>
                <c:pt idx="10">
                  <c:v>0.22046390957646053</c:v>
                </c:pt>
                <c:pt idx="11">
                  <c:v>0.22562110304386013</c:v>
                </c:pt>
                <c:pt idx="12">
                  <c:v>0.23084119834010022</c:v>
                </c:pt>
                <c:pt idx="13">
                  <c:v>0.23612300996609428</c:v>
                </c:pt>
                <c:pt idx="14">
                  <c:v>0.24146527832060097</c:v>
                </c:pt>
                <c:pt idx="15">
                  <c:v>0.24686666927901699</c:v>
                </c:pt>
                <c:pt idx="16">
                  <c:v>0.25232577385680915</c:v>
                </c:pt>
                <c:pt idx="17">
                  <c:v>0.25784110796000959</c:v>
                </c:pt>
                <c:pt idx="18">
                  <c:v>0.26341111222510161</c:v>
                </c:pt>
                <c:pt idx="19">
                  <c:v>0.26903415195051256</c:v>
                </c:pt>
                <c:pt idx="20">
                  <c:v>0.27470851712182343</c:v>
                </c:pt>
                <c:pt idx="21">
                  <c:v>0.28427496629764093</c:v>
                </c:pt>
                <c:pt idx="22">
                  <c:v>0.29397026941691567</c:v>
                </c:pt>
                <c:pt idx="23">
                  <c:v>0.30378512575347827</c:v>
                </c:pt>
                <c:pt idx="24">
                  <c:v>0.31370966753862595</c:v>
                </c:pt>
                <c:pt idx="25">
                  <c:v>0.32373346889421867</c:v>
                </c:pt>
                <c:pt idx="26">
                  <c:v>0.33384555702986468</c:v>
                </c:pt>
                <c:pt idx="27">
                  <c:v>0.34403442573074511</c:v>
                </c:pt>
                <c:pt idx="28">
                  <c:v>0.35428805115217216</c:v>
                </c:pt>
                <c:pt idx="29">
                  <c:v>0.36459390992610358</c:v>
                </c:pt>
                <c:pt idx="30">
                  <c:v>0.37493899957359184</c:v>
                </c:pt>
                <c:pt idx="31">
                  <c:v>0.3853098612055888</c:v>
                </c:pt>
                <c:pt idx="32">
                  <c:v>0.39569260448273624</c:v>
                </c:pt>
                <c:pt idx="33">
                  <c:v>0.41643618259223492</c:v>
                </c:pt>
                <c:pt idx="34">
                  <c:v>0.43705106849163272</c:v>
                </c:pt>
                <c:pt idx="35">
                  <c:v>0.45741365173538706</c:v>
                </c:pt>
                <c:pt idx="36">
                  <c:v>0.47739653698056761</c:v>
                </c:pt>
                <c:pt idx="37">
                  <c:v>0.49686981349985787</c:v>
                </c:pt>
                <c:pt idx="38">
                  <c:v>0.51570241756899193</c:v>
                </c:pt>
                <c:pt idx="39">
                  <c:v>0.53376356864364649</c:v>
                </c:pt>
                <c:pt idx="40">
                  <c:v>0.55092425797576905</c:v>
                </c:pt>
                <c:pt idx="41">
                  <c:v>0.56705876644436826</c:v>
                </c:pt>
                <c:pt idx="42">
                  <c:v>0.58204618695383759</c:v>
                </c:pt>
                <c:pt idx="43">
                  <c:v>0.59577192583645755</c:v>
                </c:pt>
                <c:pt idx="44">
                  <c:v>0.60812915732496542</c:v>
                </c:pt>
                <c:pt idx="45">
                  <c:v>0.62388820711240978</c:v>
                </c:pt>
                <c:pt idx="46">
                  <c:v>0.63606637938386767</c:v>
                </c:pt>
                <c:pt idx="47">
                  <c:v>0.64444048940426268</c:v>
                </c:pt>
                <c:pt idx="48">
                  <c:v>0.64885538160285949</c:v>
                </c:pt>
                <c:pt idx="49">
                  <c:v>0.64922871075528521</c:v>
                </c:pt>
                <c:pt idx="50">
                  <c:v>0.6455534964690377</c:v>
                </c:pt>
                <c:pt idx="51">
                  <c:v>0.63789834026024805</c:v>
                </c:pt>
                <c:pt idx="52">
                  <c:v>0.62640529579037318</c:v>
                </c:pt>
                <c:pt idx="53">
                  <c:v>0.60548525844504597</c:v>
                </c:pt>
                <c:pt idx="54">
                  <c:v>0.57879470884246875</c:v>
                </c:pt>
                <c:pt idx="55">
                  <c:v>0.54716505811436378</c:v>
                </c:pt>
                <c:pt idx="56">
                  <c:v>0.51154634262982579</c:v>
                </c:pt>
                <c:pt idx="57">
                  <c:v>0.47296002718910629</c:v>
                </c:pt>
                <c:pt idx="58">
                  <c:v>0.43245081084845649</c:v>
                </c:pt>
                <c:pt idx="59">
                  <c:v>0.37030039923583902</c:v>
                </c:pt>
                <c:pt idx="60">
                  <c:v>0.30925056454478461</c:v>
                </c:pt>
                <c:pt idx="61">
                  <c:v>0.25188695610443862</c:v>
                </c:pt>
                <c:pt idx="62">
                  <c:v>0.20009660113205105</c:v>
                </c:pt>
                <c:pt idx="63">
                  <c:v>0.1550288771341872</c:v>
                </c:pt>
                <c:pt idx="64">
                  <c:v>0.11714515936880934</c:v>
                </c:pt>
                <c:pt idx="65">
                  <c:v>6.2053232320065044E-2</c:v>
                </c:pt>
                <c:pt idx="66">
                  <c:v>2.9741296380810803E-2</c:v>
                </c:pt>
                <c:pt idx="67">
                  <c:v>1.2897656502633323E-2</c:v>
                </c:pt>
                <c:pt idx="68">
                  <c:v>5.0607763278354241E-3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D01E-47FF-BC6D-30DAC59AB100}"/>
            </c:ext>
          </c:extLst>
        </c:ser>
        <c:ser>
          <c:idx val="4"/>
          <c:order val="3"/>
          <c:tx>
            <c:v>GDRA</c:v>
          </c:tx>
          <c:spPr>
            <a:ln w="12700">
              <a:solidFill>
                <a:srgbClr val="0000CC"/>
              </a:solidFill>
            </a:ln>
          </c:spPr>
          <c:marker>
            <c:symbol val="star"/>
            <c:size val="3"/>
            <c:spPr>
              <a:ln>
                <a:solidFill>
                  <a:srgbClr val="0000CC"/>
                </a:solidFill>
              </a:ln>
            </c:spPr>
          </c:marker>
          <c:xVal>
            <c:numRef>
              <c:f>'[1]TRH 5hE'!$L$12:$L$80</c:f>
              <c:numCache>
                <c:formatCode>General</c:formatCode>
                <c:ptCount val="69"/>
                <c:pt idx="0">
                  <c:v>0</c:v>
                </c:pt>
                <c:pt idx="1">
                  <c:v>9.7125097125097121E-3</c:v>
                </c:pt>
                <c:pt idx="2">
                  <c:v>1.9425019425019424E-2</c:v>
                </c:pt>
                <c:pt idx="3">
                  <c:v>2.913752913752914E-2</c:v>
                </c:pt>
                <c:pt idx="4">
                  <c:v>3.8850038850038848E-2</c:v>
                </c:pt>
                <c:pt idx="5">
                  <c:v>4.856254856254856E-2</c:v>
                </c:pt>
                <c:pt idx="6">
                  <c:v>5.8275058275058279E-2</c:v>
                </c:pt>
                <c:pt idx="7">
                  <c:v>6.7987567987567984E-2</c:v>
                </c:pt>
                <c:pt idx="8">
                  <c:v>7.7700077700077697E-2</c:v>
                </c:pt>
                <c:pt idx="9">
                  <c:v>8.7412587412587409E-2</c:v>
                </c:pt>
                <c:pt idx="10">
                  <c:v>9.7125097125097121E-2</c:v>
                </c:pt>
                <c:pt idx="11">
                  <c:v>0.10683760683760683</c:v>
                </c:pt>
                <c:pt idx="12">
                  <c:v>0.11655011655011656</c:v>
                </c:pt>
                <c:pt idx="13">
                  <c:v>0.12626262626262627</c:v>
                </c:pt>
                <c:pt idx="14">
                  <c:v>0.13597513597513597</c:v>
                </c:pt>
                <c:pt idx="15">
                  <c:v>0.14568764568764569</c:v>
                </c:pt>
                <c:pt idx="16">
                  <c:v>0.15540015540015539</c:v>
                </c:pt>
                <c:pt idx="17">
                  <c:v>0.16511266511266512</c:v>
                </c:pt>
                <c:pt idx="18">
                  <c:v>0.17482517482517482</c:v>
                </c:pt>
                <c:pt idx="19">
                  <c:v>0.18453768453768454</c:v>
                </c:pt>
                <c:pt idx="20">
                  <c:v>0.19425019425019424</c:v>
                </c:pt>
                <c:pt idx="21">
                  <c:v>0.21043771043771045</c:v>
                </c:pt>
                <c:pt idx="22">
                  <c:v>0.22662522662522663</c:v>
                </c:pt>
                <c:pt idx="23">
                  <c:v>0.24281274281274282</c:v>
                </c:pt>
                <c:pt idx="24">
                  <c:v>0.25900025900025903</c:v>
                </c:pt>
                <c:pt idx="25">
                  <c:v>0.27518777518777521</c:v>
                </c:pt>
                <c:pt idx="26">
                  <c:v>0.29137529137529139</c:v>
                </c:pt>
                <c:pt idx="27">
                  <c:v>0.30756280756280757</c:v>
                </c:pt>
                <c:pt idx="28">
                  <c:v>0.32375032375032375</c:v>
                </c:pt>
                <c:pt idx="29">
                  <c:v>0.33993783993783994</c:v>
                </c:pt>
                <c:pt idx="30">
                  <c:v>0.35612535612535612</c:v>
                </c:pt>
                <c:pt idx="31">
                  <c:v>0.3723128723128723</c:v>
                </c:pt>
                <c:pt idx="32">
                  <c:v>0.38850038850038848</c:v>
                </c:pt>
                <c:pt idx="33">
                  <c:v>0.4208754208754209</c:v>
                </c:pt>
                <c:pt idx="34">
                  <c:v>0.45325045325045327</c:v>
                </c:pt>
                <c:pt idx="35">
                  <c:v>0.48562548562548563</c:v>
                </c:pt>
                <c:pt idx="36">
                  <c:v>0.51800051800051805</c:v>
                </c:pt>
                <c:pt idx="37">
                  <c:v>0.55037555037555042</c:v>
                </c:pt>
                <c:pt idx="38">
                  <c:v>0.58275058275058278</c:v>
                </c:pt>
                <c:pt idx="39">
                  <c:v>0.61512561512561514</c:v>
                </c:pt>
                <c:pt idx="40">
                  <c:v>0.64750064750064751</c:v>
                </c:pt>
                <c:pt idx="41">
                  <c:v>0.67987567987567987</c:v>
                </c:pt>
                <c:pt idx="42">
                  <c:v>0.71225071225071224</c:v>
                </c:pt>
                <c:pt idx="43">
                  <c:v>0.7446257446257446</c:v>
                </c:pt>
                <c:pt idx="44">
                  <c:v>0.77700077700077697</c:v>
                </c:pt>
                <c:pt idx="45">
                  <c:v>0.82556332556332557</c:v>
                </c:pt>
                <c:pt idx="46">
                  <c:v>0.87412587412587417</c:v>
                </c:pt>
                <c:pt idx="47">
                  <c:v>0.92268842268842266</c:v>
                </c:pt>
                <c:pt idx="48">
                  <c:v>0.97125097125097126</c:v>
                </c:pt>
                <c:pt idx="49">
                  <c:v>1.0198135198135199</c:v>
                </c:pt>
                <c:pt idx="50">
                  <c:v>1.0683760683760684</c:v>
                </c:pt>
                <c:pt idx="51">
                  <c:v>1.1169386169386168</c:v>
                </c:pt>
                <c:pt idx="52">
                  <c:v>1.1655011655011656</c:v>
                </c:pt>
                <c:pt idx="53">
                  <c:v>1.2302512302512303</c:v>
                </c:pt>
                <c:pt idx="54">
                  <c:v>1.295001295001295</c:v>
                </c:pt>
                <c:pt idx="55">
                  <c:v>1.3597513597513597</c:v>
                </c:pt>
                <c:pt idx="56">
                  <c:v>1.4245014245014245</c:v>
                </c:pt>
                <c:pt idx="57">
                  <c:v>1.4892514892514892</c:v>
                </c:pt>
                <c:pt idx="58">
                  <c:v>1.5540015540015539</c:v>
                </c:pt>
                <c:pt idx="59">
                  <c:v>1.6511266511266511</c:v>
                </c:pt>
                <c:pt idx="60">
                  <c:v>1.7482517482517483</c:v>
                </c:pt>
                <c:pt idx="61">
                  <c:v>1.8453768453768453</c:v>
                </c:pt>
                <c:pt idx="62">
                  <c:v>1.9425019425019425</c:v>
                </c:pt>
                <c:pt idx="63">
                  <c:v>2.0396270396270397</c:v>
                </c:pt>
                <c:pt idx="64">
                  <c:v>2.1367521367521367</c:v>
                </c:pt>
                <c:pt idx="65">
                  <c:v>2.3310023310023311</c:v>
                </c:pt>
                <c:pt idx="66">
                  <c:v>2.5252525252525251</c:v>
                </c:pt>
                <c:pt idx="67">
                  <c:v>2.7195027195027195</c:v>
                </c:pt>
                <c:pt idx="68">
                  <c:v>2.9137529137529139</c:v>
                </c:pt>
              </c:numCache>
            </c:numRef>
          </c:xVal>
          <c:yVal>
            <c:numRef>
              <c:f>'[1]TRH 5hE'!$P$12:$P$80</c:f>
              <c:numCache>
                <c:formatCode>General</c:formatCode>
                <c:ptCount val="69"/>
                <c:pt idx="0">
                  <c:v>0</c:v>
                </c:pt>
                <c:pt idx="1">
                  <c:v>3.7008767069807377E-85</c:v>
                </c:pt>
                <c:pt idx="2">
                  <c:v>4.4174298485756012E-41</c:v>
                </c:pt>
                <c:pt idx="3">
                  <c:v>1.6528536700077289E-26</c:v>
                </c:pt>
                <c:pt idx="4">
                  <c:v>2.7875703346217797E-19</c:v>
                </c:pt>
                <c:pt idx="5">
                  <c:v>5.5608285694590185E-15</c:v>
                </c:pt>
                <c:pt idx="6">
                  <c:v>3.8644341349916276E-12</c:v>
                </c:pt>
                <c:pt idx="7">
                  <c:v>3.9724986382889585E-10</c:v>
                </c:pt>
                <c:pt idx="8">
                  <c:v>1.2424351176257291E-8</c:v>
                </c:pt>
                <c:pt idx="9">
                  <c:v>1.7630963634462573E-7</c:v>
                </c:pt>
                <c:pt idx="10">
                  <c:v>1.4419300482726147E-6</c:v>
                </c:pt>
                <c:pt idx="11">
                  <c:v>7.910661934492252E-6</c:v>
                </c:pt>
                <c:pt idx="12">
                  <c:v>3.2205319078784838E-5</c:v>
                </c:pt>
                <c:pt idx="13">
                  <c:v>1.0431977831490266E-4</c:v>
                </c:pt>
                <c:pt idx="14">
                  <c:v>2.8255473212725706E-4</c:v>
                </c:pt>
                <c:pt idx="15">
                  <c:v>6.6361363639125736E-4</c:v>
                </c:pt>
                <c:pt idx="16">
                  <c:v>1.3887042122163159E-3</c:v>
                </c:pt>
                <c:pt idx="17">
                  <c:v>2.6435671074664961E-3</c:v>
                </c:pt>
                <c:pt idx="18">
                  <c:v>4.6520317910007693E-3</c:v>
                </c:pt>
                <c:pt idx="19">
                  <c:v>7.6642146286735853E-3</c:v>
                </c:pt>
                <c:pt idx="20">
                  <c:v>1.1941387034227702E-2</c:v>
                </c:pt>
                <c:pt idx="21">
                  <c:v>2.2568266447504884E-2</c:v>
                </c:pt>
                <c:pt idx="22">
                  <c:v>3.8447332063266372E-2</c:v>
                </c:pt>
                <c:pt idx="23">
                  <c:v>6.0313310216858471E-2</c:v>
                </c:pt>
                <c:pt idx="24">
                  <c:v>8.8521723640062042E-2</c:v>
                </c:pt>
                <c:pt idx="25">
                  <c:v>0.12303767356175757</c:v>
                </c:pt>
                <c:pt idx="26">
                  <c:v>0.16347548008787693</c:v>
                </c:pt>
                <c:pt idx="27">
                  <c:v>0.20916846764727218</c:v>
                </c:pt>
                <c:pt idx="28">
                  <c:v>0.25925068231936538</c:v>
                </c:pt>
                <c:pt idx="29">
                  <c:v>0.31273732326968778</c:v>
                </c:pt>
                <c:pt idx="30">
                  <c:v>0.36859580443342566</c:v>
                </c:pt>
                <c:pt idx="31">
                  <c:v>0.42580354558504285</c:v>
                </c:pt>
                <c:pt idx="32">
                  <c:v>0.4833915361181344</c:v>
                </c:pt>
                <c:pt idx="33">
                  <c:v>0.59626971815310159</c:v>
                </c:pt>
                <c:pt idx="34">
                  <c:v>0.70142594245687717</c:v>
                </c:pt>
                <c:pt idx="35">
                  <c:v>0.79483405018131603</c:v>
                </c:pt>
                <c:pt idx="36">
                  <c:v>0.87411152883357801</c:v>
                </c:pt>
                <c:pt idx="37">
                  <c:v>0.93822682893237064</c:v>
                </c:pt>
                <c:pt idx="38">
                  <c:v>0.98716782981243956</c:v>
                </c:pt>
                <c:pt idx="39">
                  <c:v>1.0216344934241792</c:v>
                </c:pt>
                <c:pt idx="40">
                  <c:v>1.042782362607962</c:v>
                </c:pt>
                <c:pt idx="41">
                  <c:v>1.0520228790705626</c:v>
                </c:pt>
                <c:pt idx="42">
                  <c:v>1.0508762100108273</c:v>
                </c:pt>
                <c:pt idx="43">
                  <c:v>1.0408681410874963</c:v>
                </c:pt>
                <c:pt idx="44">
                  <c:v>1.0234617695656185</c:v>
                </c:pt>
                <c:pt idx="45">
                  <c:v>0.98641731464658899</c:v>
                </c:pt>
                <c:pt idx="46">
                  <c:v>0.93978936178581229</c:v>
                </c:pt>
                <c:pt idx="47">
                  <c:v>0.88692291920584865</c:v>
                </c:pt>
                <c:pt idx="48">
                  <c:v>0.83049935347950932</c:v>
                </c:pt>
                <c:pt idx="49">
                  <c:v>0.77260678847799424</c:v>
                </c:pt>
                <c:pt idx="50">
                  <c:v>0.71482644220126701</c:v>
                </c:pt>
                <c:pt idx="51">
                  <c:v>0.6583199259723661</c:v>
                </c:pt>
                <c:pt idx="52">
                  <c:v>0.60390983471956972</c:v>
                </c:pt>
                <c:pt idx="53">
                  <c:v>0.53555085221698462</c:v>
                </c:pt>
                <c:pt idx="54">
                  <c:v>0.47263909390223724</c:v>
                </c:pt>
                <c:pt idx="55">
                  <c:v>0.41547086893476626</c:v>
                </c:pt>
                <c:pt idx="56">
                  <c:v>0.36403101298923923</c:v>
                </c:pt>
                <c:pt idx="57">
                  <c:v>0.31810372380822227</c:v>
                </c:pt>
                <c:pt idx="58">
                  <c:v>0.2773520056984432</c:v>
                </c:pt>
                <c:pt idx="59">
                  <c:v>0.22504008043334639</c:v>
                </c:pt>
                <c:pt idx="60">
                  <c:v>0.18201527740479748</c:v>
                </c:pt>
                <c:pt idx="61">
                  <c:v>0.14686064560629303</c:v>
                </c:pt>
                <c:pt idx="62">
                  <c:v>0.11827843892571518</c:v>
                </c:pt>
                <c:pt idx="63">
                  <c:v>9.5127034147783673E-2</c:v>
                </c:pt>
                <c:pt idx="64">
                  <c:v>7.6428123762542877E-2</c:v>
                </c:pt>
                <c:pt idx="65">
                  <c:v>4.923330571332276E-2</c:v>
                </c:pt>
                <c:pt idx="66">
                  <c:v>3.1667494730086912E-2</c:v>
                </c:pt>
                <c:pt idx="67">
                  <c:v>2.0358983415052306E-2</c:v>
                </c:pt>
                <c:pt idx="68">
                  <c:v>1.3090851310595675E-2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D01E-47FF-BC6D-30DAC59AB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39303568"/>
        <c:axId val="-2038203072"/>
      </c:scatterChart>
      <c:valAx>
        <c:axId val="-1839303568"/>
        <c:scaling>
          <c:orientation val="minMax"/>
          <c:max val="3.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lang="es-CO"/>
                </a:pPr>
                <a:r>
                  <a:rPr lang="el-GR"/>
                  <a:t>θ =(</a:t>
                </a:r>
                <a:r>
                  <a:rPr lang="es-CO"/>
                  <a:t>t/TRH)</a:t>
                </a:r>
              </a:p>
            </c:rich>
          </c:tx>
          <c:layout>
            <c:manualLayout>
              <c:xMode val="edge"/>
              <c:yMode val="edge"/>
              <c:x val="0.37836401361993466"/>
              <c:y val="0.9343076942968336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/>
            </a:pPr>
            <a:endParaRPr lang="es-MX"/>
          </a:p>
        </c:txPr>
        <c:crossAx val="-2038203072"/>
        <c:crosses val="autoZero"/>
        <c:crossBetween val="midCat"/>
      </c:valAx>
      <c:valAx>
        <c:axId val="-2038203072"/>
        <c:scaling>
          <c:orientation val="minMax"/>
          <c:min val="0"/>
        </c:scaling>
        <c:delete val="0"/>
        <c:axPos val="l"/>
        <c:majorGridlines>
          <c:spPr>
            <a:ln w="12700"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 lang="es-CO"/>
                </a:pPr>
                <a:r>
                  <a:rPr lang="es-CO"/>
                  <a:t>E(</a:t>
                </a:r>
                <a:r>
                  <a:rPr lang="el-GR"/>
                  <a:t>θ)</a:t>
                </a:r>
              </a:p>
            </c:rich>
          </c:tx>
          <c:layout>
            <c:manualLayout>
              <c:xMode val="edge"/>
              <c:yMode val="edge"/>
              <c:x val="2.8880967581756411E-2"/>
              <c:y val="0.3676963655405143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/>
            </a:pPr>
            <a:endParaRPr lang="es-MX"/>
          </a:p>
        </c:txPr>
        <c:crossAx val="-183930356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1853669220401504"/>
          <c:y val="0.83597869231865884"/>
          <c:w val="0.77148666382918363"/>
          <c:h val="5.8947028173202486E-2"/>
        </c:manualLayout>
      </c:layout>
      <c:overlay val="0"/>
      <c:txPr>
        <a:bodyPr/>
        <a:lstStyle/>
        <a:p>
          <a:pPr>
            <a:defRPr lang="es-CO"/>
          </a:pPr>
          <a:endParaRPr lang="es-MX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Tahoma" pitchFamily="34" charset="0"/>
          <a:ea typeface="Arial"/>
          <a:cs typeface="Arial"/>
        </a:defRPr>
      </a:pPr>
      <a:endParaRPr lang="es-MX"/>
    </a:p>
  </c:txPr>
  <c:printSettings>
    <c:headerFooter alignWithMargins="0"/>
    <c:pageMargins b="1" l="0.75000000000001465" r="0.75000000000001465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CO"/>
            </a:pPr>
            <a:r>
              <a:rPr lang="es-MX"/>
              <a:t>TRH 5 h. Efuente</a:t>
            </a:r>
          </a:p>
        </c:rich>
      </c:tx>
      <c:layout>
        <c:manualLayout>
          <c:xMode val="edge"/>
          <c:yMode val="edge"/>
          <c:x val="0.38185901004799433"/>
          <c:y val="3.3802891343387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451606737435244"/>
          <c:y val="0.13000707756175023"/>
          <c:w val="0.77272000857796863"/>
          <c:h val="0.61817756793049972"/>
        </c:manualLayout>
      </c:layout>
      <c:scatterChart>
        <c:scatterStyle val="lineMarker"/>
        <c:varyColors val="0"/>
        <c:ser>
          <c:idx val="0"/>
          <c:order val="0"/>
          <c:tx>
            <c:v>Exp</c:v>
          </c:tx>
          <c:spPr>
            <a:ln w="15875">
              <a:noFill/>
              <a:prstDash val="solid"/>
            </a:ln>
          </c:spPr>
          <c:marker>
            <c:symbol val="diamond"/>
            <c:size val="2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trendline>
            <c:trendlineType val="log"/>
            <c:dispRSqr val="0"/>
            <c:dispEq val="0"/>
          </c:trendline>
          <c:xVal>
            <c:numRef>
              <c:f>'[1]TRH 5hE'!$D$12:$D$80</c:f>
              <c:numCache>
                <c:formatCode>General</c:formatCode>
                <c:ptCount val="69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65</c:v>
                </c:pt>
                <c:pt idx="22">
                  <c:v>70</c:v>
                </c:pt>
                <c:pt idx="23">
                  <c:v>75</c:v>
                </c:pt>
                <c:pt idx="24">
                  <c:v>80</c:v>
                </c:pt>
                <c:pt idx="25">
                  <c:v>85</c:v>
                </c:pt>
                <c:pt idx="26">
                  <c:v>90</c:v>
                </c:pt>
                <c:pt idx="27">
                  <c:v>95</c:v>
                </c:pt>
                <c:pt idx="28">
                  <c:v>100</c:v>
                </c:pt>
                <c:pt idx="29">
                  <c:v>105</c:v>
                </c:pt>
                <c:pt idx="30">
                  <c:v>110</c:v>
                </c:pt>
                <c:pt idx="31">
                  <c:v>115</c:v>
                </c:pt>
                <c:pt idx="32">
                  <c:v>120</c:v>
                </c:pt>
                <c:pt idx="33">
                  <c:v>130</c:v>
                </c:pt>
                <c:pt idx="34">
                  <c:v>140</c:v>
                </c:pt>
                <c:pt idx="35">
                  <c:v>150</c:v>
                </c:pt>
                <c:pt idx="36">
                  <c:v>160</c:v>
                </c:pt>
                <c:pt idx="37">
                  <c:v>170</c:v>
                </c:pt>
                <c:pt idx="38">
                  <c:v>180</c:v>
                </c:pt>
                <c:pt idx="39">
                  <c:v>190</c:v>
                </c:pt>
                <c:pt idx="40">
                  <c:v>200</c:v>
                </c:pt>
                <c:pt idx="41">
                  <c:v>210</c:v>
                </c:pt>
                <c:pt idx="42">
                  <c:v>220</c:v>
                </c:pt>
                <c:pt idx="43">
                  <c:v>230</c:v>
                </c:pt>
                <c:pt idx="44">
                  <c:v>240</c:v>
                </c:pt>
                <c:pt idx="45">
                  <c:v>255</c:v>
                </c:pt>
                <c:pt idx="46">
                  <c:v>270</c:v>
                </c:pt>
                <c:pt idx="47">
                  <c:v>285</c:v>
                </c:pt>
                <c:pt idx="48">
                  <c:v>300</c:v>
                </c:pt>
                <c:pt idx="49">
                  <c:v>315</c:v>
                </c:pt>
                <c:pt idx="50">
                  <c:v>330</c:v>
                </c:pt>
                <c:pt idx="51">
                  <c:v>345</c:v>
                </c:pt>
                <c:pt idx="52">
                  <c:v>360</c:v>
                </c:pt>
                <c:pt idx="53">
                  <c:v>380</c:v>
                </c:pt>
                <c:pt idx="54">
                  <c:v>400</c:v>
                </c:pt>
                <c:pt idx="55">
                  <c:v>420</c:v>
                </c:pt>
                <c:pt idx="56">
                  <c:v>440</c:v>
                </c:pt>
                <c:pt idx="57">
                  <c:v>460</c:v>
                </c:pt>
                <c:pt idx="58">
                  <c:v>480</c:v>
                </c:pt>
                <c:pt idx="59">
                  <c:v>510</c:v>
                </c:pt>
                <c:pt idx="60">
                  <c:v>540</c:v>
                </c:pt>
                <c:pt idx="61">
                  <c:v>570</c:v>
                </c:pt>
                <c:pt idx="62">
                  <c:v>600</c:v>
                </c:pt>
                <c:pt idx="63">
                  <c:v>630</c:v>
                </c:pt>
                <c:pt idx="64">
                  <c:v>660</c:v>
                </c:pt>
                <c:pt idx="65">
                  <c:v>720</c:v>
                </c:pt>
                <c:pt idx="66">
                  <c:v>780</c:v>
                </c:pt>
                <c:pt idx="67">
                  <c:v>840</c:v>
                </c:pt>
                <c:pt idx="68">
                  <c:v>900</c:v>
                </c:pt>
              </c:numCache>
            </c:numRef>
          </c:xVal>
          <c:yVal>
            <c:numRef>
              <c:f>'[1]TRH 5hE'!$F$12:$F$80</c:f>
              <c:numCache>
                <c:formatCode>General</c:formatCode>
                <c:ptCount val="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2.4144869215291753E-2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2.4144869215291753E-2</c:v>
                </c:pt>
                <c:pt idx="20">
                  <c:v>6.438631790744466E-2</c:v>
                </c:pt>
                <c:pt idx="21">
                  <c:v>0.19517102615694165</c:v>
                </c:pt>
                <c:pt idx="22">
                  <c:v>0.66800804828973825</c:v>
                </c:pt>
                <c:pt idx="23">
                  <c:v>1.3319919517102616</c:v>
                </c:pt>
                <c:pt idx="24">
                  <c:v>1.9657947686116701</c:v>
                </c:pt>
                <c:pt idx="25">
                  <c:v>2.3983903420523141</c:v>
                </c:pt>
                <c:pt idx="26">
                  <c:v>2.6498993963782698</c:v>
                </c:pt>
                <c:pt idx="27">
                  <c:v>2.7706237424547289</c:v>
                </c:pt>
                <c:pt idx="28">
                  <c:v>2.8410462776659959</c:v>
                </c:pt>
                <c:pt idx="29">
                  <c:v>2.7404426559356141</c:v>
                </c:pt>
                <c:pt idx="30">
                  <c:v>2.7605633802816905</c:v>
                </c:pt>
                <c:pt idx="31">
                  <c:v>2.7907444668008043</c:v>
                </c:pt>
                <c:pt idx="32">
                  <c:v>2.7002012072434609</c:v>
                </c:pt>
                <c:pt idx="33">
                  <c:v>2.5694164989939638</c:v>
                </c:pt>
                <c:pt idx="34">
                  <c:v>2.4688128772635816</c:v>
                </c:pt>
                <c:pt idx="35">
                  <c:v>2.3581488933601609</c:v>
                </c:pt>
                <c:pt idx="36">
                  <c:v>2.3179074446680081</c:v>
                </c:pt>
                <c:pt idx="37">
                  <c:v>2.1770623742454727</c:v>
                </c:pt>
                <c:pt idx="38">
                  <c:v>2.1368209255533199</c:v>
                </c:pt>
                <c:pt idx="39">
                  <c:v>2.0060362173038229</c:v>
                </c:pt>
                <c:pt idx="40">
                  <c:v>2.0261569416498992</c:v>
                </c:pt>
                <c:pt idx="41">
                  <c:v>1.9054325955734408</c:v>
                </c:pt>
                <c:pt idx="42">
                  <c:v>1.8953722334004024</c:v>
                </c:pt>
                <c:pt idx="43">
                  <c:v>1.8551307847082494</c:v>
                </c:pt>
                <c:pt idx="44">
                  <c:v>1.7344064386317908</c:v>
                </c:pt>
                <c:pt idx="45">
                  <c:v>1.6338028169014085</c:v>
                </c:pt>
                <c:pt idx="46">
                  <c:v>1.5432595573440644</c:v>
                </c:pt>
                <c:pt idx="47">
                  <c:v>1.4627766599597585</c:v>
                </c:pt>
                <c:pt idx="48">
                  <c:v>1.3722334004024144</c:v>
                </c:pt>
                <c:pt idx="49">
                  <c:v>1.3118712273641853</c:v>
                </c:pt>
                <c:pt idx="50">
                  <c:v>1.2515090543259557</c:v>
                </c:pt>
                <c:pt idx="51">
                  <c:v>1.1609657947686116</c:v>
                </c:pt>
                <c:pt idx="52">
                  <c:v>1.1207243460764587</c:v>
                </c:pt>
                <c:pt idx="53">
                  <c:v>0.98993963782696159</c:v>
                </c:pt>
                <c:pt idx="54">
                  <c:v>0.96981891348088545</c:v>
                </c:pt>
                <c:pt idx="55">
                  <c:v>0.91951710261569419</c:v>
                </c:pt>
                <c:pt idx="56">
                  <c:v>0.68812877263581473</c:v>
                </c:pt>
                <c:pt idx="57">
                  <c:v>0.71830985915492951</c:v>
                </c:pt>
                <c:pt idx="58">
                  <c:v>0.72837022132796769</c:v>
                </c:pt>
                <c:pt idx="59">
                  <c:v>0.60764587525150904</c:v>
                </c:pt>
                <c:pt idx="60">
                  <c:v>0.50704225352112675</c:v>
                </c:pt>
                <c:pt idx="61">
                  <c:v>0.4164989939637827</c:v>
                </c:pt>
                <c:pt idx="62">
                  <c:v>0.3762575452716298</c:v>
                </c:pt>
                <c:pt idx="63">
                  <c:v>0.40643863179074446</c:v>
                </c:pt>
                <c:pt idx="64">
                  <c:v>0.33601609657947684</c:v>
                </c:pt>
                <c:pt idx="65">
                  <c:v>0.20523138832997989</c:v>
                </c:pt>
                <c:pt idx="66">
                  <c:v>0.13480885311871227</c:v>
                </c:pt>
                <c:pt idx="67">
                  <c:v>8.4507042253521125E-2</c:v>
                </c:pt>
                <c:pt idx="68">
                  <c:v>5.4325955734406441E-2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6E68-44F3-A980-1DF0B9CA85A5}"/>
            </c:ext>
          </c:extLst>
        </c:ser>
        <c:ser>
          <c:idx val="1"/>
          <c:order val="1"/>
          <c:tx>
            <c:v>Cal</c:v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'[1]TRH 5hE'!$D$13:$D$80</c:f>
              <c:numCache>
                <c:formatCode>General</c:formatCode>
                <c:ptCount val="68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  <c:pt idx="10">
                  <c:v>33</c:v>
                </c:pt>
                <c:pt idx="11">
                  <c:v>36</c:v>
                </c:pt>
                <c:pt idx="12">
                  <c:v>39</c:v>
                </c:pt>
                <c:pt idx="13">
                  <c:v>42</c:v>
                </c:pt>
                <c:pt idx="14">
                  <c:v>45</c:v>
                </c:pt>
                <c:pt idx="15">
                  <c:v>48</c:v>
                </c:pt>
                <c:pt idx="16">
                  <c:v>51</c:v>
                </c:pt>
                <c:pt idx="17">
                  <c:v>54</c:v>
                </c:pt>
                <c:pt idx="18">
                  <c:v>57</c:v>
                </c:pt>
                <c:pt idx="19">
                  <c:v>60</c:v>
                </c:pt>
                <c:pt idx="20">
                  <c:v>65</c:v>
                </c:pt>
                <c:pt idx="21">
                  <c:v>70</c:v>
                </c:pt>
                <c:pt idx="22">
                  <c:v>75</c:v>
                </c:pt>
                <c:pt idx="23">
                  <c:v>80</c:v>
                </c:pt>
                <c:pt idx="24">
                  <c:v>85</c:v>
                </c:pt>
                <c:pt idx="25">
                  <c:v>90</c:v>
                </c:pt>
                <c:pt idx="26">
                  <c:v>95</c:v>
                </c:pt>
                <c:pt idx="27">
                  <c:v>100</c:v>
                </c:pt>
                <c:pt idx="28">
                  <c:v>105</c:v>
                </c:pt>
                <c:pt idx="29">
                  <c:v>110</c:v>
                </c:pt>
                <c:pt idx="30">
                  <c:v>115</c:v>
                </c:pt>
                <c:pt idx="31">
                  <c:v>120</c:v>
                </c:pt>
                <c:pt idx="32">
                  <c:v>130</c:v>
                </c:pt>
                <c:pt idx="33">
                  <c:v>140</c:v>
                </c:pt>
                <c:pt idx="34">
                  <c:v>150</c:v>
                </c:pt>
                <c:pt idx="35">
                  <c:v>160</c:v>
                </c:pt>
                <c:pt idx="36">
                  <c:v>170</c:v>
                </c:pt>
                <c:pt idx="37">
                  <c:v>180</c:v>
                </c:pt>
                <c:pt idx="38">
                  <c:v>190</c:v>
                </c:pt>
                <c:pt idx="39">
                  <c:v>200</c:v>
                </c:pt>
                <c:pt idx="40">
                  <c:v>210</c:v>
                </c:pt>
                <c:pt idx="41">
                  <c:v>220</c:v>
                </c:pt>
                <c:pt idx="42">
                  <c:v>230</c:v>
                </c:pt>
                <c:pt idx="43">
                  <c:v>240</c:v>
                </c:pt>
                <c:pt idx="44">
                  <c:v>255</c:v>
                </c:pt>
                <c:pt idx="45">
                  <c:v>270</c:v>
                </c:pt>
                <c:pt idx="46">
                  <c:v>285</c:v>
                </c:pt>
                <c:pt idx="47">
                  <c:v>300</c:v>
                </c:pt>
                <c:pt idx="48">
                  <c:v>315</c:v>
                </c:pt>
                <c:pt idx="49">
                  <c:v>330</c:v>
                </c:pt>
                <c:pt idx="50">
                  <c:v>345</c:v>
                </c:pt>
                <c:pt idx="51">
                  <c:v>360</c:v>
                </c:pt>
                <c:pt idx="52">
                  <c:v>380</c:v>
                </c:pt>
                <c:pt idx="53">
                  <c:v>400</c:v>
                </c:pt>
                <c:pt idx="54">
                  <c:v>420</c:v>
                </c:pt>
                <c:pt idx="55">
                  <c:v>440</c:v>
                </c:pt>
                <c:pt idx="56">
                  <c:v>460</c:v>
                </c:pt>
                <c:pt idx="57">
                  <c:v>480</c:v>
                </c:pt>
                <c:pt idx="58">
                  <c:v>510</c:v>
                </c:pt>
                <c:pt idx="59">
                  <c:v>540</c:v>
                </c:pt>
                <c:pt idx="60">
                  <c:v>570</c:v>
                </c:pt>
                <c:pt idx="61">
                  <c:v>600</c:v>
                </c:pt>
                <c:pt idx="62">
                  <c:v>630</c:v>
                </c:pt>
                <c:pt idx="63">
                  <c:v>660</c:v>
                </c:pt>
                <c:pt idx="64">
                  <c:v>720</c:v>
                </c:pt>
                <c:pt idx="65">
                  <c:v>780</c:v>
                </c:pt>
                <c:pt idx="66">
                  <c:v>840</c:v>
                </c:pt>
                <c:pt idx="67">
                  <c:v>900</c:v>
                </c:pt>
              </c:numCache>
            </c:numRef>
          </c:xVal>
          <c:yVal>
            <c:numRef>
              <c:f>'TRH 5hE'!#REF!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E68-44F3-A980-1DF0B9CA8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38198720"/>
        <c:axId val="-2038198176"/>
      </c:scatterChart>
      <c:valAx>
        <c:axId val="-2038198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CO" b="1" i="0" baseline="0"/>
                </a:pPr>
                <a:r>
                  <a:rPr lang="es-CO" b="1" i="0" baseline="0"/>
                  <a:t>t</a:t>
                </a:r>
                <a:r>
                  <a:rPr lang="el-GR" b="1" i="0" baseline="0"/>
                  <a:t>=(</a:t>
                </a:r>
                <a:r>
                  <a:rPr lang="es-CO" b="1" i="0" baseline="0"/>
                  <a:t>min)</a:t>
                </a:r>
              </a:p>
            </c:rich>
          </c:tx>
          <c:layout>
            <c:manualLayout>
              <c:xMode val="edge"/>
              <c:yMode val="edge"/>
              <c:x val="0.37836386613291328"/>
              <c:y val="0.934307765305080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MX"/>
          </a:p>
        </c:txPr>
        <c:crossAx val="-2038198176"/>
        <c:crosses val="autoZero"/>
        <c:crossBetween val="midCat"/>
      </c:valAx>
      <c:valAx>
        <c:axId val="-2038198176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CO" b="1" i="0" baseline="0"/>
                </a:pPr>
                <a:r>
                  <a:rPr lang="es-CO" b="1" i="0" baseline="0"/>
                  <a:t>C (mg/L</a:t>
                </a:r>
                <a:r>
                  <a:rPr lang="el-GR" b="1" i="0" baseline="0"/>
                  <a:t>)</a:t>
                </a:r>
              </a:p>
            </c:rich>
          </c:tx>
          <c:layout>
            <c:manualLayout>
              <c:xMode val="edge"/>
              <c:yMode val="edge"/>
              <c:x val="2.8880935337628248E-2"/>
              <c:y val="0.477536051700631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/>
            </a:pPr>
            <a:endParaRPr lang="es-MX"/>
          </a:p>
        </c:txPr>
        <c:crossAx val="-203819872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0.18536687964509491"/>
          <c:y val="0.83597878640458712"/>
          <c:w val="0.77148669547619675"/>
          <c:h val="5.8946887931914833E-2"/>
        </c:manualLayout>
      </c:layout>
      <c:overlay val="0"/>
      <c:txPr>
        <a:bodyPr/>
        <a:lstStyle/>
        <a:p>
          <a:pPr>
            <a:defRPr lang="es-CO"/>
          </a:pPr>
          <a:endParaRPr lang="es-MX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ahoma" pitchFamily="34" charset="0"/>
          <a:ea typeface="Arial"/>
          <a:cs typeface="Arial"/>
        </a:defRPr>
      </a:pPr>
      <a:endParaRPr lang="es-MX"/>
    </a:p>
  </c:txPr>
  <c:printSettings>
    <c:headerFooter alignWithMargins="0"/>
    <c:pageMargins b="1" l="0.75000000000001465" r="0.75000000000001465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CO"/>
            </a:pPr>
            <a:r>
              <a:rPr lang="es-MX"/>
              <a:t>TRH 8 h. Efuente</a:t>
            </a:r>
          </a:p>
        </c:rich>
      </c:tx>
      <c:layout>
        <c:manualLayout>
          <c:xMode val="edge"/>
          <c:yMode val="edge"/>
          <c:x val="0.31227420952547363"/>
          <c:y val="3.38029298061880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04236822175885"/>
          <c:y val="0.13000707756175023"/>
          <c:w val="0.73339163632215065"/>
          <c:h val="0.61817756793049972"/>
        </c:manualLayout>
      </c:layout>
      <c:scatterChart>
        <c:scatterStyle val="lineMarker"/>
        <c:varyColors val="0"/>
        <c:ser>
          <c:idx val="0"/>
          <c:order val="0"/>
          <c:tx>
            <c:v>Exp</c:v>
          </c:tx>
          <c:spPr>
            <a:ln w="15875">
              <a:noFill/>
              <a:prstDash val="solid"/>
            </a:ln>
          </c:spPr>
          <c:marker>
            <c:symbol val="circle"/>
            <c:size val="2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trendline>
            <c:trendlineType val="log"/>
            <c:dispRSqr val="0"/>
            <c:dispEq val="0"/>
          </c:trendline>
          <c:xVal>
            <c:numRef>
              <c:f>'[1]TRH 8hE'!$L$11:$L$81</c:f>
              <c:numCache>
                <c:formatCode>General</c:formatCode>
                <c:ptCount val="71"/>
                <c:pt idx="0">
                  <c:v>0</c:v>
                </c:pt>
                <c:pt idx="1">
                  <c:v>1.0157646676418008E-2</c:v>
                </c:pt>
                <c:pt idx="2">
                  <c:v>2.0315293352836016E-2</c:v>
                </c:pt>
                <c:pt idx="3">
                  <c:v>3.0472940029254023E-2</c:v>
                </c:pt>
                <c:pt idx="4">
                  <c:v>4.0630586705672031E-2</c:v>
                </c:pt>
                <c:pt idx="5">
                  <c:v>5.0788233382090035E-2</c:v>
                </c:pt>
                <c:pt idx="6">
                  <c:v>6.0945880058508047E-2</c:v>
                </c:pt>
                <c:pt idx="7">
                  <c:v>7.1103526734926051E-2</c:v>
                </c:pt>
                <c:pt idx="8">
                  <c:v>8.1261173411344062E-2</c:v>
                </c:pt>
                <c:pt idx="9">
                  <c:v>9.1418820087762059E-2</c:v>
                </c:pt>
                <c:pt idx="10">
                  <c:v>0.10157646676418007</c:v>
                </c:pt>
                <c:pt idx="11">
                  <c:v>0.11173411344059808</c:v>
                </c:pt>
                <c:pt idx="12">
                  <c:v>0.12189176011701609</c:v>
                </c:pt>
                <c:pt idx="13">
                  <c:v>0.1422070534698521</c:v>
                </c:pt>
                <c:pt idx="14">
                  <c:v>0.16252234682268812</c:v>
                </c:pt>
                <c:pt idx="15">
                  <c:v>0.18283764017552412</c:v>
                </c:pt>
                <c:pt idx="16">
                  <c:v>0.20315293352836014</c:v>
                </c:pt>
                <c:pt idx="17">
                  <c:v>0.22346822688119616</c:v>
                </c:pt>
                <c:pt idx="18">
                  <c:v>0.24378352023403219</c:v>
                </c:pt>
                <c:pt idx="19">
                  <c:v>0.27425646026328621</c:v>
                </c:pt>
                <c:pt idx="20">
                  <c:v>0.3047294002925402</c:v>
                </c:pt>
                <c:pt idx="21">
                  <c:v>0.33520234032179425</c:v>
                </c:pt>
                <c:pt idx="22">
                  <c:v>0.36567528035104824</c:v>
                </c:pt>
                <c:pt idx="23">
                  <c:v>0.39614822038030229</c:v>
                </c:pt>
                <c:pt idx="24">
                  <c:v>0.42662116040955633</c:v>
                </c:pt>
                <c:pt idx="25">
                  <c:v>0.45709410043881032</c:v>
                </c:pt>
                <c:pt idx="26">
                  <c:v>0.48756704046806437</c:v>
                </c:pt>
                <c:pt idx="27">
                  <c:v>0.51803998049731836</c:v>
                </c:pt>
                <c:pt idx="28">
                  <c:v>0.54851292052657241</c:v>
                </c:pt>
                <c:pt idx="29">
                  <c:v>0.57898586055582646</c:v>
                </c:pt>
                <c:pt idx="30">
                  <c:v>0.6094588005850804</c:v>
                </c:pt>
                <c:pt idx="31">
                  <c:v>0.6500893872907525</c:v>
                </c:pt>
                <c:pt idx="32">
                  <c:v>0.69071997399642449</c:v>
                </c:pt>
                <c:pt idx="33">
                  <c:v>0.73135056070209647</c:v>
                </c:pt>
                <c:pt idx="34">
                  <c:v>0.77198114740776858</c:v>
                </c:pt>
                <c:pt idx="35">
                  <c:v>0.81261173411344056</c:v>
                </c:pt>
                <c:pt idx="36">
                  <c:v>0.85324232081911267</c:v>
                </c:pt>
                <c:pt idx="37">
                  <c:v>0.89387290752478465</c:v>
                </c:pt>
                <c:pt idx="38">
                  <c:v>0.93450349423045664</c:v>
                </c:pt>
                <c:pt idx="39">
                  <c:v>0.97513408093612874</c:v>
                </c:pt>
                <c:pt idx="40">
                  <c:v>1.0360799609946367</c:v>
                </c:pt>
                <c:pt idx="41">
                  <c:v>1.0970258410531448</c:v>
                </c:pt>
                <c:pt idx="42">
                  <c:v>1.1579717211116529</c:v>
                </c:pt>
                <c:pt idx="43">
                  <c:v>1.2189176011701608</c:v>
                </c:pt>
                <c:pt idx="44">
                  <c:v>1.2798634812286689</c:v>
                </c:pt>
                <c:pt idx="45">
                  <c:v>1.340809361287177</c:v>
                </c:pt>
                <c:pt idx="46">
                  <c:v>1.4017552413456851</c:v>
                </c:pt>
                <c:pt idx="47">
                  <c:v>1.4627011214041929</c:v>
                </c:pt>
                <c:pt idx="48">
                  <c:v>1.5845928815212091</c:v>
                </c:pt>
                <c:pt idx="49">
                  <c:v>1.7064846416382253</c:v>
                </c:pt>
                <c:pt idx="50">
                  <c:v>1.8283764017552413</c:v>
                </c:pt>
                <c:pt idx="51">
                  <c:v>1.9502681618722575</c:v>
                </c:pt>
                <c:pt idx="52">
                  <c:v>2.0721599219892735</c:v>
                </c:pt>
                <c:pt idx="53">
                  <c:v>2.1940516821062896</c:v>
                </c:pt>
                <c:pt idx="54">
                  <c:v>2.3159434422233058</c:v>
                </c:pt>
                <c:pt idx="55">
                  <c:v>2.4378352023403216</c:v>
                </c:pt>
                <c:pt idx="56">
                  <c:v>2.5597269624573378</c:v>
                </c:pt>
                <c:pt idx="57">
                  <c:v>2.681618722574354</c:v>
                </c:pt>
                <c:pt idx="58">
                  <c:v>2.8035104826913702</c:v>
                </c:pt>
                <c:pt idx="59">
                  <c:v>2.9254022428083859</c:v>
                </c:pt>
                <c:pt idx="60">
                  <c:v>2.986348122866894</c:v>
                </c:pt>
                <c:pt idx="61">
                  <c:v>3.0472940029254021</c:v>
                </c:pt>
                <c:pt idx="62">
                  <c:v>3.1082398829839102</c:v>
                </c:pt>
                <c:pt idx="63">
                  <c:v>3.1691857630424183</c:v>
                </c:pt>
                <c:pt idx="64">
                  <c:v>3.2301316431009264</c:v>
                </c:pt>
                <c:pt idx="65">
                  <c:v>3.2910775231594345</c:v>
                </c:pt>
                <c:pt idx="66">
                  <c:v>3.3520234032179426</c:v>
                </c:pt>
                <c:pt idx="67">
                  <c:v>3.4129692832764507</c:v>
                </c:pt>
                <c:pt idx="68">
                  <c:v>3.4739151633349583</c:v>
                </c:pt>
                <c:pt idx="69">
                  <c:v>3.5348610433934664</c:v>
                </c:pt>
                <c:pt idx="70">
                  <c:v>3.5958069234519745</c:v>
                </c:pt>
              </c:numCache>
            </c:numRef>
          </c:xVal>
          <c:yVal>
            <c:numRef>
              <c:f>'[1]TRH 8hE'!$M$11:$M$81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4.5506874904967754E-3</c:v>
                </c:pt>
                <c:pt idx="18">
                  <c:v>1.3601378601269995E-2</c:v>
                </c:pt>
                <c:pt idx="19">
                  <c:v>4.980414304436287E-2</c:v>
                </c:pt>
                <c:pt idx="20">
                  <c:v>0.14936174526286825</c:v>
                </c:pt>
                <c:pt idx="21">
                  <c:v>0.2398686563706004</c:v>
                </c:pt>
                <c:pt idx="22">
                  <c:v>0.37562902303219869</c:v>
                </c:pt>
                <c:pt idx="23">
                  <c:v>0.50686404413841035</c:v>
                </c:pt>
                <c:pt idx="24">
                  <c:v>0.74218201301851416</c:v>
                </c:pt>
                <c:pt idx="25">
                  <c:v>0.92772118078936494</c:v>
                </c:pt>
                <c:pt idx="26">
                  <c:v>1.06800689300635</c:v>
                </c:pt>
                <c:pt idx="27">
                  <c:v>1.1358870763371491</c:v>
                </c:pt>
                <c:pt idx="28">
                  <c:v>1.1449377674479222</c:v>
                </c:pt>
                <c:pt idx="29">
                  <c:v>1.1494631130033088</c:v>
                </c:pt>
                <c:pt idx="30">
                  <c:v>1.1223110396709892</c:v>
                </c:pt>
                <c:pt idx="31">
                  <c:v>1.0951589663386696</c:v>
                </c:pt>
                <c:pt idx="32">
                  <c:v>1.0544308563401901</c:v>
                </c:pt>
                <c:pt idx="33">
                  <c:v>1.0001267096755508</c:v>
                </c:pt>
                <c:pt idx="34">
                  <c:v>0.94582256301091161</c:v>
                </c:pt>
                <c:pt idx="35">
                  <c:v>0.90056910745704533</c:v>
                </c:pt>
                <c:pt idx="36">
                  <c:v>0.87341703412472582</c:v>
                </c:pt>
                <c:pt idx="37">
                  <c:v>0.82363823301547312</c:v>
                </c:pt>
                <c:pt idx="38">
                  <c:v>0.75575804968467386</c:v>
                </c:pt>
                <c:pt idx="39">
                  <c:v>0.71050459413080791</c:v>
                </c:pt>
                <c:pt idx="40">
                  <c:v>0.71502993968619444</c:v>
                </c:pt>
                <c:pt idx="41">
                  <c:v>0.72860597635235425</c:v>
                </c:pt>
                <c:pt idx="42">
                  <c:v>0.66525113857694174</c:v>
                </c:pt>
                <c:pt idx="43">
                  <c:v>0.54759215413688977</c:v>
                </c:pt>
                <c:pt idx="44">
                  <c:v>0.44803455191838443</c:v>
                </c:pt>
                <c:pt idx="45">
                  <c:v>0.40278109636451837</c:v>
                </c:pt>
                <c:pt idx="46">
                  <c:v>0.33037556747833263</c:v>
                </c:pt>
                <c:pt idx="47">
                  <c:v>0.30774883970139955</c:v>
                </c:pt>
                <c:pt idx="48">
                  <c:v>0.25344469303676026</c:v>
                </c:pt>
                <c:pt idx="49">
                  <c:v>0.18556450970596111</c:v>
                </c:pt>
                <c:pt idx="50">
                  <c:v>0.14936174526286825</c:v>
                </c:pt>
                <c:pt idx="51">
                  <c:v>0.12220967193054863</c:v>
                </c:pt>
                <c:pt idx="52">
                  <c:v>9.0532253042842348E-2</c:v>
                </c:pt>
                <c:pt idx="53">
                  <c:v>6.7905525265909303E-2</c:v>
                </c:pt>
                <c:pt idx="54">
                  <c:v>5.8854834155136086E-2</c:v>
                </c:pt>
                <c:pt idx="55">
                  <c:v>4.980414304436287E-2</c:v>
                </c:pt>
                <c:pt idx="56">
                  <c:v>3.6228106378203041E-2</c:v>
                </c:pt>
                <c:pt idx="57">
                  <c:v>3.170276082281643E-2</c:v>
                </c:pt>
                <c:pt idx="58">
                  <c:v>2.2652069712043213E-2</c:v>
                </c:pt>
                <c:pt idx="59">
                  <c:v>1.8126724156656601E-2</c:v>
                </c:pt>
                <c:pt idx="60">
                  <c:v>1.3601378601269995E-2</c:v>
                </c:pt>
                <c:pt idx="61">
                  <c:v>1.3601378601269995E-2</c:v>
                </c:pt>
                <c:pt idx="62">
                  <c:v>9.0760330458833811E-3</c:v>
                </c:pt>
                <c:pt idx="63">
                  <c:v>9.0760330458833811E-3</c:v>
                </c:pt>
                <c:pt idx="64">
                  <c:v>4.5506874904967754E-3</c:v>
                </c:pt>
                <c:pt idx="65">
                  <c:v>1.3601378601269995E-2</c:v>
                </c:pt>
                <c:pt idx="66">
                  <c:v>1.3601378601269995E-2</c:v>
                </c:pt>
                <c:pt idx="67">
                  <c:v>4.5506874904967754E-3</c:v>
                </c:pt>
                <c:pt idx="68">
                  <c:v>2.2652069712043213E-2</c:v>
                </c:pt>
                <c:pt idx="69">
                  <c:v>2.5341935110166065E-5</c:v>
                </c:pt>
                <c:pt idx="70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D4B5-4494-AFB1-D375D70B6CA5}"/>
            </c:ext>
          </c:extLst>
        </c:ser>
        <c:ser>
          <c:idx val="1"/>
          <c:order val="1"/>
          <c:tx>
            <c:v>T.S</c:v>
          </c:tx>
          <c:spPr>
            <a:ln w="12700">
              <a:solidFill>
                <a:schemeClr val="tx1"/>
              </a:solidFill>
            </a:ln>
          </c:spPr>
          <c:marker>
            <c:symbol val="squar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trendline>
            <c:trendlineType val="log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log"/>
            <c:dispRSqr val="0"/>
            <c:dispEq val="0"/>
          </c:trendline>
          <c:xVal>
            <c:numRef>
              <c:f>'[1]TRH 8hE'!$L$11:$L$81</c:f>
              <c:numCache>
                <c:formatCode>General</c:formatCode>
                <c:ptCount val="71"/>
                <c:pt idx="0">
                  <c:v>0</c:v>
                </c:pt>
                <c:pt idx="1">
                  <c:v>1.0157646676418008E-2</c:v>
                </c:pt>
                <c:pt idx="2">
                  <c:v>2.0315293352836016E-2</c:v>
                </c:pt>
                <c:pt idx="3">
                  <c:v>3.0472940029254023E-2</c:v>
                </c:pt>
                <c:pt idx="4">
                  <c:v>4.0630586705672031E-2</c:v>
                </c:pt>
                <c:pt idx="5">
                  <c:v>5.0788233382090035E-2</c:v>
                </c:pt>
                <c:pt idx="6">
                  <c:v>6.0945880058508047E-2</c:v>
                </c:pt>
                <c:pt idx="7">
                  <c:v>7.1103526734926051E-2</c:v>
                </c:pt>
                <c:pt idx="8">
                  <c:v>8.1261173411344062E-2</c:v>
                </c:pt>
                <c:pt idx="9">
                  <c:v>9.1418820087762059E-2</c:v>
                </c:pt>
                <c:pt idx="10">
                  <c:v>0.10157646676418007</c:v>
                </c:pt>
                <c:pt idx="11">
                  <c:v>0.11173411344059808</c:v>
                </c:pt>
                <c:pt idx="12">
                  <c:v>0.12189176011701609</c:v>
                </c:pt>
                <c:pt idx="13">
                  <c:v>0.1422070534698521</c:v>
                </c:pt>
                <c:pt idx="14">
                  <c:v>0.16252234682268812</c:v>
                </c:pt>
                <c:pt idx="15">
                  <c:v>0.18283764017552412</c:v>
                </c:pt>
                <c:pt idx="16">
                  <c:v>0.20315293352836014</c:v>
                </c:pt>
                <c:pt idx="17">
                  <c:v>0.22346822688119616</c:v>
                </c:pt>
                <c:pt idx="18">
                  <c:v>0.24378352023403219</c:v>
                </c:pt>
                <c:pt idx="19">
                  <c:v>0.27425646026328621</c:v>
                </c:pt>
                <c:pt idx="20">
                  <c:v>0.3047294002925402</c:v>
                </c:pt>
                <c:pt idx="21">
                  <c:v>0.33520234032179425</c:v>
                </c:pt>
                <c:pt idx="22">
                  <c:v>0.36567528035104824</c:v>
                </c:pt>
                <c:pt idx="23">
                  <c:v>0.39614822038030229</c:v>
                </c:pt>
                <c:pt idx="24">
                  <c:v>0.42662116040955633</c:v>
                </c:pt>
                <c:pt idx="25">
                  <c:v>0.45709410043881032</c:v>
                </c:pt>
                <c:pt idx="26">
                  <c:v>0.48756704046806437</c:v>
                </c:pt>
                <c:pt idx="27">
                  <c:v>0.51803998049731836</c:v>
                </c:pt>
                <c:pt idx="28">
                  <c:v>0.54851292052657241</c:v>
                </c:pt>
                <c:pt idx="29">
                  <c:v>0.57898586055582646</c:v>
                </c:pt>
                <c:pt idx="30">
                  <c:v>0.6094588005850804</c:v>
                </c:pt>
                <c:pt idx="31">
                  <c:v>0.6500893872907525</c:v>
                </c:pt>
                <c:pt idx="32">
                  <c:v>0.69071997399642449</c:v>
                </c:pt>
                <c:pt idx="33">
                  <c:v>0.73135056070209647</c:v>
                </c:pt>
                <c:pt idx="34">
                  <c:v>0.77198114740776858</c:v>
                </c:pt>
                <c:pt idx="35">
                  <c:v>0.81261173411344056</c:v>
                </c:pt>
                <c:pt idx="36">
                  <c:v>0.85324232081911267</c:v>
                </c:pt>
                <c:pt idx="37">
                  <c:v>0.89387290752478465</c:v>
                </c:pt>
                <c:pt idx="38">
                  <c:v>0.93450349423045664</c:v>
                </c:pt>
                <c:pt idx="39">
                  <c:v>0.97513408093612874</c:v>
                </c:pt>
                <c:pt idx="40">
                  <c:v>1.0360799609946367</c:v>
                </c:pt>
                <c:pt idx="41">
                  <c:v>1.0970258410531448</c:v>
                </c:pt>
                <c:pt idx="42">
                  <c:v>1.1579717211116529</c:v>
                </c:pt>
                <c:pt idx="43">
                  <c:v>1.2189176011701608</c:v>
                </c:pt>
                <c:pt idx="44">
                  <c:v>1.2798634812286689</c:v>
                </c:pt>
                <c:pt idx="45">
                  <c:v>1.340809361287177</c:v>
                </c:pt>
                <c:pt idx="46">
                  <c:v>1.4017552413456851</c:v>
                </c:pt>
                <c:pt idx="47">
                  <c:v>1.4627011214041929</c:v>
                </c:pt>
                <c:pt idx="48">
                  <c:v>1.5845928815212091</c:v>
                </c:pt>
                <c:pt idx="49">
                  <c:v>1.7064846416382253</c:v>
                </c:pt>
                <c:pt idx="50">
                  <c:v>1.8283764017552413</c:v>
                </c:pt>
                <c:pt idx="51">
                  <c:v>1.9502681618722575</c:v>
                </c:pt>
                <c:pt idx="52">
                  <c:v>2.0721599219892735</c:v>
                </c:pt>
                <c:pt idx="53">
                  <c:v>2.1940516821062896</c:v>
                </c:pt>
                <c:pt idx="54">
                  <c:v>2.3159434422233058</c:v>
                </c:pt>
                <c:pt idx="55">
                  <c:v>2.4378352023403216</c:v>
                </c:pt>
                <c:pt idx="56">
                  <c:v>2.5597269624573378</c:v>
                </c:pt>
                <c:pt idx="57">
                  <c:v>2.681618722574354</c:v>
                </c:pt>
                <c:pt idx="58">
                  <c:v>2.8035104826913702</c:v>
                </c:pt>
                <c:pt idx="59">
                  <c:v>2.9254022428083859</c:v>
                </c:pt>
                <c:pt idx="60">
                  <c:v>2.986348122866894</c:v>
                </c:pt>
                <c:pt idx="61">
                  <c:v>3.0472940029254021</c:v>
                </c:pt>
                <c:pt idx="62">
                  <c:v>3.1082398829839102</c:v>
                </c:pt>
                <c:pt idx="63">
                  <c:v>3.1691857630424183</c:v>
                </c:pt>
                <c:pt idx="64">
                  <c:v>3.2301316431009264</c:v>
                </c:pt>
                <c:pt idx="65">
                  <c:v>3.2910775231594345</c:v>
                </c:pt>
                <c:pt idx="66">
                  <c:v>3.3520234032179426</c:v>
                </c:pt>
                <c:pt idx="67">
                  <c:v>3.4129692832764507</c:v>
                </c:pt>
                <c:pt idx="68">
                  <c:v>3.4739151633349583</c:v>
                </c:pt>
                <c:pt idx="69">
                  <c:v>3.5348610433934664</c:v>
                </c:pt>
                <c:pt idx="70">
                  <c:v>3.5958069234519745</c:v>
                </c:pt>
              </c:numCache>
            </c:numRef>
          </c:xVal>
          <c:yVal>
            <c:numRef>
              <c:f>'[1]TRH 8hE'!$Q$11:$Q$81</c:f>
              <c:numCache>
                <c:formatCode>General</c:formatCode>
                <c:ptCount val="71"/>
                <c:pt idx="0">
                  <c:v>0</c:v>
                </c:pt>
                <c:pt idx="1">
                  <c:v>2.9681155126001226E-4</c:v>
                </c:pt>
                <c:pt idx="2">
                  <c:v>1.7717953773124749E-3</c:v>
                </c:pt>
                <c:pt idx="3">
                  <c:v>4.9620084728524217E-3</c:v>
                </c:pt>
                <c:pt idx="4">
                  <c:v>1.0193642131146364E-2</c:v>
                </c:pt>
                <c:pt idx="5">
                  <c:v>1.7671088335573692E-2</c:v>
                </c:pt>
                <c:pt idx="6">
                  <c:v>2.7514167250852962E-2</c:v>
                </c:pt>
                <c:pt idx="7">
                  <c:v>3.9779840732570931E-2</c:v>
                </c:pt>
                <c:pt idx="8">
                  <c:v>5.4476764639700338E-2</c:v>
                </c:pt>
                <c:pt idx="9">
                  <c:v>7.1575833820929441E-2</c:v>
                </c:pt>
                <c:pt idx="10">
                  <c:v>9.1018206830732903E-2</c:v>
                </c:pt>
                <c:pt idx="11">
                  <c:v>0.11272161545302083</c:v>
                </c:pt>
                <c:pt idx="12">
                  <c:v>0.13658543907116891</c:v>
                </c:pt>
                <c:pt idx="13">
                  <c:v>0.19032424826861974</c:v>
                </c:pt>
                <c:pt idx="14">
                  <c:v>0.25120335943981309</c:v>
                </c:pt>
                <c:pt idx="15">
                  <c:v>0.31809995305321198</c:v>
                </c:pt>
                <c:pt idx="16">
                  <c:v>0.38985985510435628</c:v>
                </c:pt>
                <c:pt idx="17">
                  <c:v>0.46534012163142974</c:v>
                </c:pt>
                <c:pt idx="18">
                  <c:v>0.54343893549813949</c:v>
                </c:pt>
                <c:pt idx="19">
                  <c:v>0.66324191674861455</c:v>
                </c:pt>
                <c:pt idx="20">
                  <c:v>0.78342951774340686</c:v>
                </c:pt>
                <c:pt idx="21">
                  <c:v>0.90124935228324832</c:v>
                </c:pt>
                <c:pt idx="22">
                  <c:v>1.0143977339901007</c:v>
                </c:pt>
                <c:pt idx="23">
                  <c:v>1.1210102364078638</c:v>
                </c:pt>
                <c:pt idx="24">
                  <c:v>1.2196359078660794</c:v>
                </c:pt>
                <c:pt idx="25">
                  <c:v>1.309201846017358</c:v>
                </c:pt>
                <c:pt idx="26">
                  <c:v>1.38897277677913</c:v>
                </c:pt>
                <c:pt idx="27">
                  <c:v>1.4585088363779959</c:v>
                </c:pt>
                <c:pt idx="28">
                  <c:v>1.5176237258563496</c:v>
                </c:pt>
                <c:pt idx="29">
                  <c:v>1.5663446688104035</c:v>
                </c:pt>
                <c:pt idx="30">
                  <c:v>1.6048750716809363</c:v>
                </c:pt>
                <c:pt idx="31">
                  <c:v>1.6410106857072861</c:v>
                </c:pt>
                <c:pt idx="32">
                  <c:v>1.6607711532600629</c:v>
                </c:pt>
                <c:pt idx="33">
                  <c:v>1.6655124695164092</c:v>
                </c:pt>
                <c:pt idx="34">
                  <c:v>1.6567392727358192</c:v>
                </c:pt>
                <c:pt idx="35">
                  <c:v>1.6360294540965423</c:v>
                </c:pt>
                <c:pt idx="36">
                  <c:v>1.6049745045351309</c:v>
                </c:pt>
                <c:pt idx="37">
                  <c:v>1.5651336103167748</c:v>
                </c:pt>
                <c:pt idx="38">
                  <c:v>1.5179995114154599</c:v>
                </c:pt>
                <c:pt idx="39">
                  <c:v>1.4649742368034453</c:v>
                </c:pt>
                <c:pt idx="40">
                  <c:v>1.3771919541328776</c:v>
                </c:pt>
                <c:pt idx="41">
                  <c:v>1.2829173498176523</c:v>
                </c:pt>
                <c:pt idx="42">
                  <c:v>1.1854167594417293</c:v>
                </c:pt>
                <c:pt idx="43">
                  <c:v>1.0873619202631739</c:v>
                </c:pt>
                <c:pt idx="44">
                  <c:v>0.9908712906185505</c:v>
                </c:pt>
                <c:pt idx="45">
                  <c:v>0.89756649201149441</c:v>
                </c:pt>
                <c:pt idx="46">
                  <c:v>0.80863577476998871</c:v>
                </c:pt>
                <c:pt idx="47">
                  <c:v>0.7248988525346024</c:v>
                </c:pt>
                <c:pt idx="48">
                  <c:v>0.5748124904742713</c:v>
                </c:pt>
                <c:pt idx="49">
                  <c:v>0.44873949703837535</c:v>
                </c:pt>
                <c:pt idx="50">
                  <c:v>0.34563537097885721</c:v>
                </c:pt>
                <c:pt idx="51">
                  <c:v>0.2631193461924074</c:v>
                </c:pt>
                <c:pt idx="52">
                  <c:v>0.19825109215787803</c:v>
                </c:pt>
                <c:pt idx="53">
                  <c:v>0.14801921878518678</c:v>
                </c:pt>
                <c:pt idx="54">
                  <c:v>0.10961975066489597</c:v>
                </c:pt>
                <c:pt idx="55">
                  <c:v>8.0591675401361654E-2</c:v>
                </c:pt>
                <c:pt idx="56">
                  <c:v>5.8861540961773137E-2</c:v>
                </c:pt>
                <c:pt idx="57">
                  <c:v>4.2734569253137303E-2</c:v>
                </c:pt>
                <c:pt idx="58">
                  <c:v>3.0857729543101942E-2</c:v>
                </c:pt>
                <c:pt idx="59">
                  <c:v>2.2171074800402948E-2</c:v>
                </c:pt>
                <c:pt idx="60">
                  <c:v>1.87604592181074E-2</c:v>
                </c:pt>
                <c:pt idx="61">
                  <c:v>1.5857116703869512E-2</c:v>
                </c:pt>
                <c:pt idx="62">
                  <c:v>1.3388991688235258E-2</c:v>
                </c:pt>
                <c:pt idx="63">
                  <c:v>1.1293593888956469E-2</c:v>
                </c:pt>
                <c:pt idx="64">
                  <c:v>9.5168636166873977E-3</c:v>
                </c:pt>
                <c:pt idx="65">
                  <c:v>8.012143311138642E-3</c:v>
                </c:pt>
                <c:pt idx="66">
                  <c:v>6.739251850793767E-3</c:v>
                </c:pt>
                <c:pt idx="67">
                  <c:v>5.6636564546414195E-3</c:v>
                </c:pt>
                <c:pt idx="68">
                  <c:v>4.7557358954545392E-3</c:v>
                </c:pt>
                <c:pt idx="69">
                  <c:v>3.9901281248755534E-3</c:v>
                </c:pt>
                <c:pt idx="70">
                  <c:v>3.3451551522874841E-3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D4B5-4494-AFB1-D375D70B6CA5}"/>
            </c:ext>
          </c:extLst>
        </c:ser>
        <c:ser>
          <c:idx val="2"/>
          <c:order val="2"/>
          <c:tx>
            <c:v>PD</c:v>
          </c:tx>
          <c:spPr>
            <a:ln w="19050">
              <a:solidFill>
                <a:schemeClr val="tx1"/>
              </a:solidFill>
              <a:prstDash val="sysDash"/>
            </a:ln>
          </c:spPr>
          <c:marker>
            <c:symbol val="none"/>
          </c:marker>
          <c:xVal>
            <c:numRef>
              <c:f>'[1]TRH 8hE'!$L$11:$L$81</c:f>
              <c:numCache>
                <c:formatCode>General</c:formatCode>
                <c:ptCount val="71"/>
                <c:pt idx="0">
                  <c:v>0</c:v>
                </c:pt>
                <c:pt idx="1">
                  <c:v>1.0157646676418008E-2</c:v>
                </c:pt>
                <c:pt idx="2">
                  <c:v>2.0315293352836016E-2</c:v>
                </c:pt>
                <c:pt idx="3">
                  <c:v>3.0472940029254023E-2</c:v>
                </c:pt>
                <c:pt idx="4">
                  <c:v>4.0630586705672031E-2</c:v>
                </c:pt>
                <c:pt idx="5">
                  <c:v>5.0788233382090035E-2</c:v>
                </c:pt>
                <c:pt idx="6">
                  <c:v>6.0945880058508047E-2</c:v>
                </c:pt>
                <c:pt idx="7">
                  <c:v>7.1103526734926051E-2</c:v>
                </c:pt>
                <c:pt idx="8">
                  <c:v>8.1261173411344062E-2</c:v>
                </c:pt>
                <c:pt idx="9">
                  <c:v>9.1418820087762059E-2</c:v>
                </c:pt>
                <c:pt idx="10">
                  <c:v>0.10157646676418007</c:v>
                </c:pt>
                <c:pt idx="11">
                  <c:v>0.11173411344059808</c:v>
                </c:pt>
                <c:pt idx="12">
                  <c:v>0.12189176011701609</c:v>
                </c:pt>
                <c:pt idx="13">
                  <c:v>0.1422070534698521</c:v>
                </c:pt>
                <c:pt idx="14">
                  <c:v>0.16252234682268812</c:v>
                </c:pt>
                <c:pt idx="15">
                  <c:v>0.18283764017552412</c:v>
                </c:pt>
                <c:pt idx="16">
                  <c:v>0.20315293352836014</c:v>
                </c:pt>
                <c:pt idx="17">
                  <c:v>0.22346822688119616</c:v>
                </c:pt>
                <c:pt idx="18">
                  <c:v>0.24378352023403219</c:v>
                </c:pt>
                <c:pt idx="19">
                  <c:v>0.27425646026328621</c:v>
                </c:pt>
                <c:pt idx="20">
                  <c:v>0.3047294002925402</c:v>
                </c:pt>
                <c:pt idx="21">
                  <c:v>0.33520234032179425</c:v>
                </c:pt>
                <c:pt idx="22">
                  <c:v>0.36567528035104824</c:v>
                </c:pt>
                <c:pt idx="23">
                  <c:v>0.39614822038030229</c:v>
                </c:pt>
                <c:pt idx="24">
                  <c:v>0.42662116040955633</c:v>
                </c:pt>
                <c:pt idx="25">
                  <c:v>0.45709410043881032</c:v>
                </c:pt>
                <c:pt idx="26">
                  <c:v>0.48756704046806437</c:v>
                </c:pt>
                <c:pt idx="27">
                  <c:v>0.51803998049731836</c:v>
                </c:pt>
                <c:pt idx="28">
                  <c:v>0.54851292052657241</c:v>
                </c:pt>
                <c:pt idx="29">
                  <c:v>0.57898586055582646</c:v>
                </c:pt>
                <c:pt idx="30">
                  <c:v>0.6094588005850804</c:v>
                </c:pt>
                <c:pt idx="31">
                  <c:v>0.6500893872907525</c:v>
                </c:pt>
                <c:pt idx="32">
                  <c:v>0.69071997399642449</c:v>
                </c:pt>
                <c:pt idx="33">
                  <c:v>0.73135056070209647</c:v>
                </c:pt>
                <c:pt idx="34">
                  <c:v>0.77198114740776858</c:v>
                </c:pt>
                <c:pt idx="35">
                  <c:v>0.81261173411344056</c:v>
                </c:pt>
                <c:pt idx="36">
                  <c:v>0.85324232081911267</c:v>
                </c:pt>
                <c:pt idx="37">
                  <c:v>0.89387290752478465</c:v>
                </c:pt>
                <c:pt idx="38">
                  <c:v>0.93450349423045664</c:v>
                </c:pt>
                <c:pt idx="39">
                  <c:v>0.97513408093612874</c:v>
                </c:pt>
                <c:pt idx="40">
                  <c:v>1.0360799609946367</c:v>
                </c:pt>
                <c:pt idx="41">
                  <c:v>1.0970258410531448</c:v>
                </c:pt>
                <c:pt idx="42">
                  <c:v>1.1579717211116529</c:v>
                </c:pt>
                <c:pt idx="43">
                  <c:v>1.2189176011701608</c:v>
                </c:pt>
                <c:pt idx="44">
                  <c:v>1.2798634812286689</c:v>
                </c:pt>
                <c:pt idx="45">
                  <c:v>1.340809361287177</c:v>
                </c:pt>
                <c:pt idx="46">
                  <c:v>1.4017552413456851</c:v>
                </c:pt>
                <c:pt idx="47">
                  <c:v>1.4627011214041929</c:v>
                </c:pt>
                <c:pt idx="48">
                  <c:v>1.5845928815212091</c:v>
                </c:pt>
                <c:pt idx="49">
                  <c:v>1.7064846416382253</c:v>
                </c:pt>
                <c:pt idx="50">
                  <c:v>1.8283764017552413</c:v>
                </c:pt>
                <c:pt idx="51">
                  <c:v>1.9502681618722575</c:v>
                </c:pt>
                <c:pt idx="52">
                  <c:v>2.0721599219892735</c:v>
                </c:pt>
                <c:pt idx="53">
                  <c:v>2.1940516821062896</c:v>
                </c:pt>
                <c:pt idx="54">
                  <c:v>2.3159434422233058</c:v>
                </c:pt>
                <c:pt idx="55">
                  <c:v>2.4378352023403216</c:v>
                </c:pt>
                <c:pt idx="56">
                  <c:v>2.5597269624573378</c:v>
                </c:pt>
                <c:pt idx="57">
                  <c:v>2.681618722574354</c:v>
                </c:pt>
                <c:pt idx="58">
                  <c:v>2.8035104826913702</c:v>
                </c:pt>
                <c:pt idx="59">
                  <c:v>2.9254022428083859</c:v>
                </c:pt>
                <c:pt idx="60">
                  <c:v>2.986348122866894</c:v>
                </c:pt>
                <c:pt idx="61">
                  <c:v>3.0472940029254021</c:v>
                </c:pt>
                <c:pt idx="62">
                  <c:v>3.1082398829839102</c:v>
                </c:pt>
                <c:pt idx="63">
                  <c:v>3.1691857630424183</c:v>
                </c:pt>
                <c:pt idx="64">
                  <c:v>3.2301316431009264</c:v>
                </c:pt>
                <c:pt idx="65">
                  <c:v>3.2910775231594345</c:v>
                </c:pt>
                <c:pt idx="66">
                  <c:v>3.3520234032179426</c:v>
                </c:pt>
                <c:pt idx="67">
                  <c:v>3.4129692832764507</c:v>
                </c:pt>
                <c:pt idx="68">
                  <c:v>3.4739151633349583</c:v>
                </c:pt>
                <c:pt idx="69">
                  <c:v>3.5348610433934664</c:v>
                </c:pt>
                <c:pt idx="70">
                  <c:v>3.5958069234519745</c:v>
                </c:pt>
              </c:numCache>
            </c:numRef>
          </c:xVal>
          <c:yVal>
            <c:numRef>
              <c:f>'[1]TRH 8hE'!$N$11:$N$81</c:f>
              <c:numCache>
                <c:formatCode>General</c:formatCode>
                <c:ptCount val="71"/>
                <c:pt idx="0">
                  <c:v>0.1237223437566765</c:v>
                </c:pt>
                <c:pt idx="1">
                  <c:v>0.12834677967474581</c:v>
                </c:pt>
                <c:pt idx="2">
                  <c:v>0.13309419291348809</c:v>
                </c:pt>
                <c:pt idx="3">
                  <c:v>0.13796550995701279</c:v>
                </c:pt>
                <c:pt idx="4">
                  <c:v>0.1429615495999623</c:v>
                </c:pt>
                <c:pt idx="5">
                  <c:v>0.1480830177575197</c:v>
                </c:pt>
                <c:pt idx="6">
                  <c:v>0.15333050230169898</c:v>
                </c:pt>
                <c:pt idx="7">
                  <c:v>0.15870446793668114</c:v>
                </c:pt>
                <c:pt idx="8">
                  <c:v>0.16420525112631446</c:v>
                </c:pt>
                <c:pt idx="9">
                  <c:v>0.16983305508722554</c:v>
                </c:pt>
                <c:pt idx="10">
                  <c:v>0.1755879448612869</c:v>
                </c:pt>
                <c:pt idx="11">
                  <c:v>0.18146984248145268</c:v>
                </c:pt>
                <c:pt idx="12">
                  <c:v>0.1874785222452118</c:v>
                </c:pt>
                <c:pt idx="13">
                  <c:v>0.19987455922588129</c:v>
                </c:pt>
                <c:pt idx="14">
                  <c:v>0.21277112403798495</c:v>
                </c:pt>
                <c:pt idx="15">
                  <c:v>0.22616064197405292</c:v>
                </c:pt>
                <c:pt idx="16">
                  <c:v>0.24003277174267934</c:v>
                </c:pt>
                <c:pt idx="17">
                  <c:v>0.25437429530643019</c:v>
                </c:pt>
                <c:pt idx="18">
                  <c:v>0.26916902306674539</c:v>
                </c:pt>
                <c:pt idx="19">
                  <c:v>0.29216793903870175</c:v>
                </c:pt>
                <c:pt idx="20">
                  <c:v>0.31606446545430306</c:v>
                </c:pt>
                <c:pt idx="21">
                  <c:v>0.34076456072247563</c:v>
                </c:pt>
                <c:pt idx="22">
                  <c:v>0.36615823705910477</c:v>
                </c:pt>
                <c:pt idx="23">
                  <c:v>0.39211985248339637</c:v>
                </c:pt>
                <c:pt idx="24">
                  <c:v>0.41850869807713104</c:v>
                </c:pt>
                <c:pt idx="25">
                  <c:v>0.44516989019874359</c:v>
                </c:pt>
                <c:pt idx="26">
                  <c:v>0.4719355706228775</c:v>
                </c:pt>
                <c:pt idx="27">
                  <c:v>0.49862641029678784</c:v>
                </c:pt>
                <c:pt idx="28">
                  <c:v>0.52505340475646001</c:v>
                </c:pt>
                <c:pt idx="29">
                  <c:v>0.55101994144178623</c:v>
                </c:pt>
                <c:pt idx="30">
                  <c:v>0.57632411142476403</c:v>
                </c:pt>
                <c:pt idx="31">
                  <c:v>0.60867881576999461</c:v>
                </c:pt>
                <c:pt idx="32">
                  <c:v>0.63900796362798773</c:v>
                </c:pt>
                <c:pt idx="33">
                  <c:v>0.66683907455734681</c:v>
                </c:pt>
                <c:pt idx="34">
                  <c:v>0.69172344479094516</c:v>
                </c:pt>
                <c:pt idx="35">
                  <c:v>0.71324812234803325</c:v>
                </c:pt>
                <c:pt idx="36">
                  <c:v>0.73104727804789382</c:v>
                </c:pt>
                <c:pt idx="37">
                  <c:v>0.74481253610982379</c:v>
                </c:pt>
                <c:pt idx="38">
                  <c:v>0.75430185721523724</c:v>
                </c:pt>
                <c:pt idx="39">
                  <c:v>0.75934661666068748</c:v>
                </c:pt>
                <c:pt idx="40">
                  <c:v>0.75840498024873404</c:v>
                </c:pt>
                <c:pt idx="41">
                  <c:v>0.74731695163773437</c:v>
                </c:pt>
                <c:pt idx="42">
                  <c:v>0.72652578833633996</c:v>
                </c:pt>
                <c:pt idx="43">
                  <c:v>0.69685076077812513</c:v>
                </c:pt>
                <c:pt idx="44">
                  <c:v>0.65943359110280275</c:v>
                </c:pt>
                <c:pt idx="45">
                  <c:v>0.615665612276727</c:v>
                </c:pt>
                <c:pt idx="46">
                  <c:v>0.56710212055684184</c:v>
                </c:pt>
                <c:pt idx="47">
                  <c:v>0.51537125137138284</c:v>
                </c:pt>
                <c:pt idx="48">
                  <c:v>0.40875742481437677</c:v>
                </c:pt>
                <c:pt idx="49">
                  <c:v>0.30717176520258638</c:v>
                </c:pt>
                <c:pt idx="50">
                  <c:v>0.21870922719987587</c:v>
                </c:pt>
                <c:pt idx="51">
                  <c:v>0.14754452280966485</c:v>
                </c:pt>
                <c:pt idx="52">
                  <c:v>9.4308155686942285E-2</c:v>
                </c:pt>
                <c:pt idx="53">
                  <c:v>5.711439554852564E-2</c:v>
                </c:pt>
                <c:pt idx="54">
                  <c:v>3.2772690126684427E-2</c:v>
                </c:pt>
                <c:pt idx="55">
                  <c:v>1.7817582234168166E-2</c:v>
                </c:pt>
                <c:pt idx="56">
                  <c:v>9.178160027890311E-3</c:v>
                </c:pt>
                <c:pt idx="57">
                  <c:v>4.4795320991041117E-3</c:v>
                </c:pt>
                <c:pt idx="58">
                  <c:v>2.0714757513240023E-3</c:v>
                </c:pt>
                <c:pt idx="59">
                  <c:v>9.0760572819259468E-4</c:v>
                </c:pt>
                <c:pt idx="60">
                  <c:v>5.8873483094110048E-4</c:v>
                </c:pt>
                <c:pt idx="61">
                  <c:v>3.7677734032396493E-4</c:v>
                </c:pt>
                <c:pt idx="62">
                  <c:v>2.3789886230762331E-4</c:v>
                </c:pt>
                <c:pt idx="63">
                  <c:v>1.4819805284807823E-4</c:v>
                </c:pt>
                <c:pt idx="64">
                  <c:v>9.1082548421800506E-5</c:v>
                </c:pt>
                <c:pt idx="65">
                  <c:v>5.5229408566254236E-5</c:v>
                </c:pt>
                <c:pt idx="66">
                  <c:v>3.3040617484057994E-5</c:v>
                </c:pt>
                <c:pt idx="67">
                  <c:v>1.9501519923786944E-5</c:v>
                </c:pt>
                <c:pt idx="68">
                  <c:v>1.135615496868845E-5</c:v>
                </c:pt>
                <c:pt idx="69">
                  <c:v>6.5243417718017831E-6</c:v>
                </c:pt>
                <c:pt idx="70">
                  <c:v>3.6981509934780417E-6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D4B5-4494-AFB1-D375D70B6CA5}"/>
            </c:ext>
          </c:extLst>
        </c:ser>
        <c:ser>
          <c:idx val="4"/>
          <c:order val="3"/>
          <c:tx>
            <c:v>GDRA</c:v>
          </c:tx>
          <c:spPr>
            <a:ln w="15875">
              <a:solidFill>
                <a:schemeClr val="tx1"/>
              </a:solidFill>
            </a:ln>
          </c:spPr>
          <c:marker>
            <c:symbol val="star"/>
            <c:size val="4"/>
            <c:spPr>
              <a:ln>
                <a:solidFill>
                  <a:schemeClr val="tx1"/>
                </a:solidFill>
              </a:ln>
            </c:spPr>
          </c:marker>
          <c:xVal>
            <c:numRef>
              <c:f>'[1]TRH 8hE'!$L$12:$L$81</c:f>
              <c:numCache>
                <c:formatCode>General</c:formatCode>
                <c:ptCount val="70"/>
                <c:pt idx="0">
                  <c:v>1.0157646676418008E-2</c:v>
                </c:pt>
                <c:pt idx="1">
                  <c:v>2.0315293352836016E-2</c:v>
                </c:pt>
                <c:pt idx="2">
                  <c:v>3.0472940029254023E-2</c:v>
                </c:pt>
                <c:pt idx="3">
                  <c:v>4.0630586705672031E-2</c:v>
                </c:pt>
                <c:pt idx="4">
                  <c:v>5.0788233382090035E-2</c:v>
                </c:pt>
                <c:pt idx="5">
                  <c:v>6.0945880058508047E-2</c:v>
                </c:pt>
                <c:pt idx="6">
                  <c:v>7.1103526734926051E-2</c:v>
                </c:pt>
                <c:pt idx="7">
                  <c:v>8.1261173411344062E-2</c:v>
                </c:pt>
                <c:pt idx="8">
                  <c:v>9.1418820087762059E-2</c:v>
                </c:pt>
                <c:pt idx="9">
                  <c:v>0.10157646676418007</c:v>
                </c:pt>
                <c:pt idx="10">
                  <c:v>0.11173411344059808</c:v>
                </c:pt>
                <c:pt idx="11">
                  <c:v>0.12189176011701609</c:v>
                </c:pt>
                <c:pt idx="12">
                  <c:v>0.1422070534698521</c:v>
                </c:pt>
                <c:pt idx="13">
                  <c:v>0.16252234682268812</c:v>
                </c:pt>
                <c:pt idx="14">
                  <c:v>0.18283764017552412</c:v>
                </c:pt>
                <c:pt idx="15">
                  <c:v>0.20315293352836014</c:v>
                </c:pt>
                <c:pt idx="16">
                  <c:v>0.22346822688119616</c:v>
                </c:pt>
                <c:pt idx="17">
                  <c:v>0.24378352023403219</c:v>
                </c:pt>
                <c:pt idx="18">
                  <c:v>0.27425646026328621</c:v>
                </c:pt>
                <c:pt idx="19">
                  <c:v>0.3047294002925402</c:v>
                </c:pt>
                <c:pt idx="20">
                  <c:v>0.33520234032179425</c:v>
                </c:pt>
                <c:pt idx="21">
                  <c:v>0.36567528035104824</c:v>
                </c:pt>
                <c:pt idx="22">
                  <c:v>0.39614822038030229</c:v>
                </c:pt>
                <c:pt idx="23">
                  <c:v>0.42662116040955633</c:v>
                </c:pt>
                <c:pt idx="24">
                  <c:v>0.45709410043881032</c:v>
                </c:pt>
                <c:pt idx="25">
                  <c:v>0.48756704046806437</c:v>
                </c:pt>
                <c:pt idx="26">
                  <c:v>0.51803998049731836</c:v>
                </c:pt>
                <c:pt idx="27">
                  <c:v>0.54851292052657241</c:v>
                </c:pt>
                <c:pt idx="28">
                  <c:v>0.57898586055582646</c:v>
                </c:pt>
                <c:pt idx="29">
                  <c:v>0.6094588005850804</c:v>
                </c:pt>
                <c:pt idx="30">
                  <c:v>0.6500893872907525</c:v>
                </c:pt>
                <c:pt idx="31">
                  <c:v>0.69071997399642449</c:v>
                </c:pt>
                <c:pt idx="32">
                  <c:v>0.73135056070209647</c:v>
                </c:pt>
                <c:pt idx="33">
                  <c:v>0.77198114740776858</c:v>
                </c:pt>
                <c:pt idx="34">
                  <c:v>0.81261173411344056</c:v>
                </c:pt>
                <c:pt idx="35">
                  <c:v>0.85324232081911267</c:v>
                </c:pt>
                <c:pt idx="36">
                  <c:v>0.89387290752478465</c:v>
                </c:pt>
                <c:pt idx="37">
                  <c:v>0.93450349423045664</c:v>
                </c:pt>
                <c:pt idx="38">
                  <c:v>0.97513408093612874</c:v>
                </c:pt>
                <c:pt idx="39">
                  <c:v>1.0360799609946367</c:v>
                </c:pt>
                <c:pt idx="40">
                  <c:v>1.0970258410531448</c:v>
                </c:pt>
                <c:pt idx="41">
                  <c:v>1.1579717211116529</c:v>
                </c:pt>
                <c:pt idx="42">
                  <c:v>1.2189176011701608</c:v>
                </c:pt>
                <c:pt idx="43">
                  <c:v>1.2798634812286689</c:v>
                </c:pt>
                <c:pt idx="44">
                  <c:v>1.340809361287177</c:v>
                </c:pt>
                <c:pt idx="45">
                  <c:v>1.4017552413456851</c:v>
                </c:pt>
                <c:pt idx="46">
                  <c:v>1.4627011214041929</c:v>
                </c:pt>
                <c:pt idx="47">
                  <c:v>1.5845928815212091</c:v>
                </c:pt>
                <c:pt idx="48">
                  <c:v>1.7064846416382253</c:v>
                </c:pt>
                <c:pt idx="49">
                  <c:v>1.8283764017552413</c:v>
                </c:pt>
                <c:pt idx="50">
                  <c:v>1.9502681618722575</c:v>
                </c:pt>
                <c:pt idx="51">
                  <c:v>2.0721599219892735</c:v>
                </c:pt>
                <c:pt idx="52">
                  <c:v>2.1940516821062896</c:v>
                </c:pt>
                <c:pt idx="53">
                  <c:v>2.3159434422233058</c:v>
                </c:pt>
                <c:pt idx="54">
                  <c:v>2.4378352023403216</c:v>
                </c:pt>
                <c:pt idx="55">
                  <c:v>2.5597269624573378</c:v>
                </c:pt>
                <c:pt idx="56">
                  <c:v>2.681618722574354</c:v>
                </c:pt>
                <c:pt idx="57">
                  <c:v>2.8035104826913702</c:v>
                </c:pt>
                <c:pt idx="58">
                  <c:v>2.9254022428083859</c:v>
                </c:pt>
                <c:pt idx="59">
                  <c:v>2.986348122866894</c:v>
                </c:pt>
                <c:pt idx="60">
                  <c:v>3.0472940029254021</c:v>
                </c:pt>
                <c:pt idx="61">
                  <c:v>3.1082398829839102</c:v>
                </c:pt>
                <c:pt idx="62">
                  <c:v>3.1691857630424183</c:v>
                </c:pt>
                <c:pt idx="63">
                  <c:v>3.2301316431009264</c:v>
                </c:pt>
                <c:pt idx="64">
                  <c:v>3.2910775231594345</c:v>
                </c:pt>
                <c:pt idx="65">
                  <c:v>3.3520234032179426</c:v>
                </c:pt>
                <c:pt idx="66">
                  <c:v>3.4129692832764507</c:v>
                </c:pt>
                <c:pt idx="67">
                  <c:v>3.4739151633349583</c:v>
                </c:pt>
                <c:pt idx="68">
                  <c:v>3.5348610433934664</c:v>
                </c:pt>
                <c:pt idx="69">
                  <c:v>3.5958069234519745</c:v>
                </c:pt>
              </c:numCache>
            </c:numRef>
          </c:xVal>
          <c:yVal>
            <c:numRef>
              <c:f>'[1]TRH 8hE'!$P$12:$P$81</c:f>
              <c:numCache>
                <c:formatCode>General</c:formatCode>
                <c:ptCount val="70"/>
                <c:pt idx="0">
                  <c:v>8.9023394662431911E-106</c:v>
                </c:pt>
                <c:pt idx="1">
                  <c:v>7.6072277477492121E-52</c:v>
                </c:pt>
                <c:pt idx="2">
                  <c:v>6.5035661380409189E-34</c:v>
                </c:pt>
                <c:pt idx="3">
                  <c:v>5.6896603526967525E-25</c:v>
                </c:pt>
                <c:pt idx="4">
                  <c:v>1.2729426411565224E-19</c:v>
                </c:pt>
                <c:pt idx="5">
                  <c:v>4.5738549379415644E-16</c:v>
                </c:pt>
                <c:pt idx="6">
                  <c:v>1.5542565113254719E-13</c:v>
                </c:pt>
                <c:pt idx="7">
                  <c:v>1.2113548461550345E-11</c:v>
                </c:pt>
                <c:pt idx="8">
                  <c:v>3.5410094244424359E-10</c:v>
                </c:pt>
                <c:pt idx="9">
                  <c:v>5.2138845769746245E-9</c:v>
                </c:pt>
                <c:pt idx="10">
                  <c:v>4.6646488339414496E-8</c:v>
                </c:pt>
                <c:pt idx="11">
                  <c:v>2.8731557253603918E-7</c:v>
                </c:pt>
                <c:pt idx="12">
                  <c:v>4.9034179300112231E-6</c:v>
                </c:pt>
                <c:pt idx="13">
                  <c:v>4.0283904264150613E-5</c:v>
                </c:pt>
                <c:pt idx="14">
                  <c:v>2.0348273375985626E-4</c:v>
                </c:pt>
                <c:pt idx="15">
                  <c:v>7.3174816898788754E-4</c:v>
                </c:pt>
                <c:pt idx="16">
                  <c:v>2.0563570876971486E-3</c:v>
                </c:pt>
                <c:pt idx="17">
                  <c:v>4.8048273386550383E-3</c:v>
                </c:pt>
                <c:pt idx="18">
                  <c:v>1.3288590356866279E-2</c:v>
                </c:pt>
                <c:pt idx="19">
                  <c:v>2.9363281936050589E-2</c:v>
                </c:pt>
                <c:pt idx="20">
                  <c:v>5.5139092680696125E-2</c:v>
                </c:pt>
                <c:pt idx="21">
                  <c:v>9.1680484615581856E-2</c:v>
                </c:pt>
                <c:pt idx="22">
                  <c:v>0.13885988420607054</c:v>
                </c:pt>
                <c:pt idx="23">
                  <c:v>0.19549756620748385</c:v>
                </c:pt>
                <c:pt idx="24">
                  <c:v>0.25965542373257317</c:v>
                </c:pt>
                <c:pt idx="25">
                  <c:v>0.32896906255409425</c:v>
                </c:pt>
                <c:pt idx="26">
                  <c:v>0.4009452074365904</c:v>
                </c:pt>
                <c:pt idx="27">
                  <c:v>0.4731908689363612</c:v>
                </c:pt>
                <c:pt idx="28">
                  <c:v>0.54356765728061629</c:v>
                </c:pt>
                <c:pt idx="29">
                  <c:v>0.61027936905689373</c:v>
                </c:pt>
                <c:pt idx="30">
                  <c:v>0.69112883335159603</c:v>
                </c:pt>
                <c:pt idx="31">
                  <c:v>0.760643294747121</c:v>
                </c:pt>
                <c:pt idx="32">
                  <c:v>0.81753670372193943</c:v>
                </c:pt>
                <c:pt idx="33">
                  <c:v>0.86139179701128243</c:v>
                </c:pt>
                <c:pt idx="34">
                  <c:v>0.89245877185280897</c:v>
                </c:pt>
                <c:pt idx="35">
                  <c:v>0.91146609791217315</c:v>
                </c:pt>
                <c:pt idx="36">
                  <c:v>0.91945730852757079</c:v>
                </c:pt>
                <c:pt idx="37">
                  <c:v>0.91765845391585754</c:v>
                </c:pt>
                <c:pt idx="38">
                  <c:v>0.90737563629296736</c:v>
                </c:pt>
                <c:pt idx="39">
                  <c:v>0.8788985115560779</c:v>
                </c:pt>
                <c:pt idx="40">
                  <c:v>0.83845037344124385</c:v>
                </c:pt>
                <c:pt idx="41">
                  <c:v>0.78974080798760116</c:v>
                </c:pt>
                <c:pt idx="42">
                  <c:v>0.73590522480483234</c:v>
                </c:pt>
                <c:pt idx="43">
                  <c:v>0.67949092333449901</c:v>
                </c:pt>
                <c:pt idx="44">
                  <c:v>0.62249454070775323</c:v>
                </c:pt>
                <c:pt idx="45">
                  <c:v>0.56642546965525431</c:v>
                </c:pt>
                <c:pt idx="46">
                  <c:v>0.51237899836998124</c:v>
                </c:pt>
                <c:pt idx="47">
                  <c:v>0.4130975960105811</c:v>
                </c:pt>
                <c:pt idx="48">
                  <c:v>0.32775302821201113</c:v>
                </c:pt>
                <c:pt idx="49">
                  <c:v>0.25677141688097838</c:v>
                </c:pt>
                <c:pt idx="50">
                  <c:v>0.19913494724760689</c:v>
                </c:pt>
                <c:pt idx="51">
                  <c:v>0.15317178948222818</c:v>
                </c:pt>
                <c:pt idx="52">
                  <c:v>0.11702534685027229</c:v>
                </c:pt>
                <c:pt idx="53">
                  <c:v>8.8910080130093896E-2</c:v>
                </c:pt>
                <c:pt idx="54">
                  <c:v>6.7233897277435492E-2</c:v>
                </c:pt>
                <c:pt idx="55">
                  <c:v>5.0641851829552144E-2</c:v>
                </c:pt>
                <c:pt idx="56">
                  <c:v>3.801652401860503E-2</c:v>
                </c:pt>
                <c:pt idx="57">
                  <c:v>2.8456891611760082E-2</c:v>
                </c:pt>
                <c:pt idx="58">
                  <c:v>2.1248516367468932E-2</c:v>
                </c:pt>
                <c:pt idx="59">
                  <c:v>1.8346052919671039E-2</c:v>
                </c:pt>
                <c:pt idx="60">
                  <c:v>1.5832171268225725E-2</c:v>
                </c:pt>
                <c:pt idx="61">
                  <c:v>1.3656411021282851E-2</c:v>
                </c:pt>
                <c:pt idx="62">
                  <c:v>1.1774547304288665E-2</c:v>
                </c:pt>
                <c:pt idx="63">
                  <c:v>1.0147886714245682E-2</c:v>
                </c:pt>
                <c:pt idx="64">
                  <c:v>8.7426281083685803E-3</c:v>
                </c:pt>
                <c:pt idx="65">
                  <c:v>7.5292857897256114E-3</c:v>
                </c:pt>
                <c:pt idx="66">
                  <c:v>6.4821717024380384E-3</c:v>
                </c:pt>
                <c:pt idx="67">
                  <c:v>5.5789326799654503E-3</c:v>
                </c:pt>
                <c:pt idx="68">
                  <c:v>4.800138501782957E-3</c:v>
                </c:pt>
                <c:pt idx="69">
                  <c:v>4.1289164288267084E-3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D4B5-4494-AFB1-D375D70B6CA5}"/>
            </c:ext>
          </c:extLst>
        </c:ser>
        <c:ser>
          <c:idx val="3"/>
          <c:order val="4"/>
          <c:tx>
            <c:v>IRF</c:v>
          </c:tx>
          <c:spPr>
            <a:ln w="25400"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'[1]TRH 8hE'!$R$12:$R$81</c:f>
              <c:numCache>
                <c:formatCode>General</c:formatCode>
                <c:ptCount val="70"/>
                <c:pt idx="0">
                  <c:v>1.0663254425250587E-2</c:v>
                </c:pt>
                <c:pt idx="1">
                  <c:v>2.1326508850501174E-2</c:v>
                </c:pt>
                <c:pt idx="2">
                  <c:v>3.1989763275751759E-2</c:v>
                </c:pt>
                <c:pt idx="3">
                  <c:v>4.2653017701002348E-2</c:v>
                </c:pt>
                <c:pt idx="4">
                  <c:v>5.3316272126252937E-2</c:v>
                </c:pt>
                <c:pt idx="5">
                  <c:v>6.3979526551503518E-2</c:v>
                </c:pt>
                <c:pt idx="6">
                  <c:v>7.4642780976754114E-2</c:v>
                </c:pt>
                <c:pt idx="7">
                  <c:v>8.5306035402004696E-2</c:v>
                </c:pt>
                <c:pt idx="8">
                  <c:v>9.5969289827255277E-2</c:v>
                </c:pt>
                <c:pt idx="9">
                  <c:v>0.10663254425250587</c:v>
                </c:pt>
                <c:pt idx="10">
                  <c:v>0.11729579867775645</c:v>
                </c:pt>
                <c:pt idx="11">
                  <c:v>0.12795905310300704</c:v>
                </c:pt>
                <c:pt idx="12">
                  <c:v>0.14928556195350823</c:v>
                </c:pt>
                <c:pt idx="13">
                  <c:v>0.17061207080400939</c:v>
                </c:pt>
                <c:pt idx="14">
                  <c:v>0.19193857965451055</c:v>
                </c:pt>
                <c:pt idx="15">
                  <c:v>0.21326508850501175</c:v>
                </c:pt>
                <c:pt idx="16">
                  <c:v>0.23459159735551291</c:v>
                </c:pt>
                <c:pt idx="17">
                  <c:v>0.25591810620601407</c:v>
                </c:pt>
                <c:pt idx="18">
                  <c:v>0.28790786948176583</c:v>
                </c:pt>
                <c:pt idx="19">
                  <c:v>0.31989763275751759</c:v>
                </c:pt>
                <c:pt idx="20">
                  <c:v>0.35188739603326935</c:v>
                </c:pt>
                <c:pt idx="21">
                  <c:v>0.38387715930902111</c:v>
                </c:pt>
                <c:pt idx="22">
                  <c:v>0.41586692258477287</c:v>
                </c:pt>
                <c:pt idx="23">
                  <c:v>0.44785668586052463</c:v>
                </c:pt>
                <c:pt idx="24">
                  <c:v>0.47984644913627639</c:v>
                </c:pt>
                <c:pt idx="25">
                  <c:v>0.51183621241202815</c:v>
                </c:pt>
                <c:pt idx="26">
                  <c:v>0.54382597568777991</c:v>
                </c:pt>
                <c:pt idx="27">
                  <c:v>0.57581573896353166</c:v>
                </c:pt>
                <c:pt idx="28">
                  <c:v>0.60780550223928342</c:v>
                </c:pt>
                <c:pt idx="29">
                  <c:v>0.63979526551503518</c:v>
                </c:pt>
                <c:pt idx="30">
                  <c:v>0.68244828321603757</c:v>
                </c:pt>
                <c:pt idx="31">
                  <c:v>0.72510130091703995</c:v>
                </c:pt>
                <c:pt idx="32">
                  <c:v>0.76775431861804222</c:v>
                </c:pt>
                <c:pt idx="33">
                  <c:v>0.8104073363190446</c:v>
                </c:pt>
                <c:pt idx="34">
                  <c:v>0.85306035402004698</c:v>
                </c:pt>
                <c:pt idx="35">
                  <c:v>0.89571337172104926</c:v>
                </c:pt>
                <c:pt idx="36">
                  <c:v>0.93836638942205164</c:v>
                </c:pt>
                <c:pt idx="37">
                  <c:v>0.98101940712305402</c:v>
                </c:pt>
                <c:pt idx="38">
                  <c:v>1.0236724248240563</c:v>
                </c:pt>
                <c:pt idx="39">
                  <c:v>1.0876519513755598</c:v>
                </c:pt>
                <c:pt idx="40">
                  <c:v>1.1516314779270633</c:v>
                </c:pt>
                <c:pt idx="41">
                  <c:v>1.2156110044785668</c:v>
                </c:pt>
                <c:pt idx="42">
                  <c:v>1.2795905310300704</c:v>
                </c:pt>
                <c:pt idx="43">
                  <c:v>1.3435700575815739</c:v>
                </c:pt>
                <c:pt idx="44">
                  <c:v>1.4075495841330774</c:v>
                </c:pt>
                <c:pt idx="45">
                  <c:v>1.4715291106845809</c:v>
                </c:pt>
                <c:pt idx="46">
                  <c:v>1.5355086372360844</c:v>
                </c:pt>
                <c:pt idx="47">
                  <c:v>1.6634676903390915</c:v>
                </c:pt>
                <c:pt idx="48">
                  <c:v>1.7914267434420985</c:v>
                </c:pt>
                <c:pt idx="49">
                  <c:v>1.9193857965451055</c:v>
                </c:pt>
                <c:pt idx="50">
                  <c:v>2.0473448496481126</c:v>
                </c:pt>
                <c:pt idx="51">
                  <c:v>2.1753039027511196</c:v>
                </c:pt>
                <c:pt idx="52">
                  <c:v>2.3032629558541267</c:v>
                </c:pt>
                <c:pt idx="53">
                  <c:v>2.4312220089571337</c:v>
                </c:pt>
                <c:pt idx="54">
                  <c:v>2.5591810620601407</c:v>
                </c:pt>
                <c:pt idx="55">
                  <c:v>2.6871401151631478</c:v>
                </c:pt>
                <c:pt idx="56">
                  <c:v>2.8150991682661548</c:v>
                </c:pt>
                <c:pt idx="57">
                  <c:v>2.9430582213691618</c:v>
                </c:pt>
                <c:pt idx="58">
                  <c:v>3.0710172744721689</c:v>
                </c:pt>
                <c:pt idx="59">
                  <c:v>3.1349968010236724</c:v>
                </c:pt>
                <c:pt idx="60">
                  <c:v>3.1989763275751759</c:v>
                </c:pt>
                <c:pt idx="61">
                  <c:v>3.2629558541266794</c:v>
                </c:pt>
                <c:pt idx="62">
                  <c:v>3.326935380678183</c:v>
                </c:pt>
                <c:pt idx="63">
                  <c:v>3.3909149072296865</c:v>
                </c:pt>
                <c:pt idx="64">
                  <c:v>3.45489443378119</c:v>
                </c:pt>
                <c:pt idx="65">
                  <c:v>3.5188739603326935</c:v>
                </c:pt>
                <c:pt idx="66">
                  <c:v>3.582853486884197</c:v>
                </c:pt>
                <c:pt idx="67">
                  <c:v>3.6468330134357005</c:v>
                </c:pt>
                <c:pt idx="68">
                  <c:v>3.7108125399872041</c:v>
                </c:pt>
                <c:pt idx="69">
                  <c:v>3.7747920665387076</c:v>
                </c:pt>
              </c:numCache>
            </c:numRef>
          </c:xVal>
          <c:yVal>
            <c:numRef>
              <c:f>'[1]TRH 8hE'!$S$12:$S$81</c:f>
              <c:numCache>
                <c:formatCode>General</c:formatCode>
                <c:ptCount val="70"/>
                <c:pt idx="0">
                  <c:v>7.0441958931438375E-66</c:v>
                </c:pt>
                <c:pt idx="1">
                  <c:v>1.3783307162220651E-31</c:v>
                </c:pt>
                <c:pt idx="2">
                  <c:v>2.8246874600212714E-20</c:v>
                </c:pt>
                <c:pt idx="3">
                  <c:v>1.1155469834187846E-14</c:v>
                </c:pt>
                <c:pt idx="4">
                  <c:v>2.3405455693586413E-11</c:v>
                </c:pt>
                <c:pt idx="5">
                  <c:v>3.6255494171311479E-9</c:v>
                </c:pt>
                <c:pt idx="6">
                  <c:v>1.2760244877830238E-7</c:v>
                </c:pt>
                <c:pt idx="7">
                  <c:v>1.7867937808768683E-6</c:v>
                </c:pt>
                <c:pt idx="8">
                  <c:v>1.3575244032090259E-5</c:v>
                </c:pt>
                <c:pt idx="9">
                  <c:v>6.7367815257370178E-5</c:v>
                </c:pt>
                <c:pt idx="10">
                  <c:v>2.4563855339085463E-4</c:v>
                </c:pt>
                <c:pt idx="11">
                  <c:v>7.1160799096999742E-4</c:v>
                </c:pt>
                <c:pt idx="12">
                  <c:v>3.6594788164728657E-3</c:v>
                </c:pt>
                <c:pt idx="13">
                  <c:v>1.2055324705693166E-2</c:v>
                </c:pt>
                <c:pt idx="14">
                  <c:v>2.9600363930199883E-2</c:v>
                </c:pt>
                <c:pt idx="15">
                  <c:v>5.9289428652769302E-2</c:v>
                </c:pt>
                <c:pt idx="16">
                  <c:v>0.1025653600010815</c:v>
                </c:pt>
                <c:pt idx="17">
                  <c:v>0.1591392672989935</c:v>
                </c:pt>
                <c:pt idx="18">
                  <c:v>0.2649162846733078</c:v>
                </c:pt>
                <c:pt idx="19">
                  <c:v>0.38741716369826146</c:v>
                </c:pt>
                <c:pt idx="20">
                  <c:v>0.51640877608666025</c:v>
                </c:pt>
                <c:pt idx="21">
                  <c:v>0.64285432187755498</c:v>
                </c:pt>
                <c:pt idx="22">
                  <c:v>0.75992314703698294</c:v>
                </c:pt>
                <c:pt idx="23">
                  <c:v>0.86313241027824161</c:v>
                </c:pt>
                <c:pt idx="24">
                  <c:v>0.95004674691800817</c:v>
                </c:pt>
                <c:pt idx="25">
                  <c:v>1.0198216048879742</c:v>
                </c:pt>
                <c:pt idx="26">
                  <c:v>1.0727452310724572</c:v>
                </c:pt>
                <c:pt idx="27">
                  <c:v>1.1098473198693835</c:v>
                </c:pt>
                <c:pt idx="28">
                  <c:v>1.1325936504182892</c:v>
                </c:pt>
                <c:pt idx="29">
                  <c:v>1.1426625423716426</c:v>
                </c:pt>
                <c:pt idx="30">
                  <c:v>1.1393624137901757</c:v>
                </c:pt>
                <c:pt idx="31">
                  <c:v>1.1205676196449688</c:v>
                </c:pt>
                <c:pt idx="32">
                  <c:v>1.0898693839020397</c:v>
                </c:pt>
                <c:pt idx="33">
                  <c:v>1.0503824323890354</c:v>
                </c:pt>
                <c:pt idx="34">
                  <c:v>1.0047243945388611</c:v>
                </c:pt>
                <c:pt idx="35">
                  <c:v>0.95504168930018263</c:v>
                </c:pt>
                <c:pt idx="36">
                  <c:v>0.90305802121984402</c:v>
                </c:pt>
                <c:pt idx="37">
                  <c:v>0.8501311975296495</c:v>
                </c:pt>
                <c:pt idx="38">
                  <c:v>0.7973101674337042</c:v>
                </c:pt>
                <c:pt idx="39">
                  <c:v>0.71995368826166661</c:v>
                </c:pt>
                <c:pt idx="40">
                  <c:v>0.64640985077962476</c:v>
                </c:pt>
                <c:pt idx="41">
                  <c:v>0.57775053614975591</c:v>
                </c:pt>
                <c:pt idx="42">
                  <c:v>0.51450875100701043</c:v>
                </c:pt>
                <c:pt idx="43">
                  <c:v>0.45684896558870081</c:v>
                </c:pt>
                <c:pt idx="44">
                  <c:v>0.40469152585781715</c:v>
                </c:pt>
                <c:pt idx="45">
                  <c:v>0.35780192565053115</c:v>
                </c:pt>
                <c:pt idx="46">
                  <c:v>0.31585382754701924</c:v>
                </c:pt>
                <c:pt idx="47">
                  <c:v>0.24526607269677703</c:v>
                </c:pt>
                <c:pt idx="48">
                  <c:v>0.18982397883321905</c:v>
                </c:pt>
                <c:pt idx="49">
                  <c:v>0.14660668027837781</c:v>
                </c:pt>
                <c:pt idx="50">
                  <c:v>0.11308647844971338</c:v>
                </c:pt>
                <c:pt idx="51">
                  <c:v>8.717222806359759E-2</c:v>
                </c:pt>
                <c:pt idx="52">
                  <c:v>6.7179644631077118E-2</c:v>
                </c:pt>
                <c:pt idx="53">
                  <c:v>5.1774822271209602E-2</c:v>
                </c:pt>
                <c:pt idx="54">
                  <c:v>3.991287996642346E-2</c:v>
                </c:pt>
                <c:pt idx="55">
                  <c:v>3.078127271614799E-2</c:v>
                </c:pt>
                <c:pt idx="56">
                  <c:v>2.3751186307839352E-2</c:v>
                </c:pt>
                <c:pt idx="57">
                  <c:v>1.8337547948920698E-2</c:v>
                </c:pt>
                <c:pt idx="58">
                  <c:v>1.4166937710165261E-2</c:v>
                </c:pt>
                <c:pt idx="59">
                  <c:v>1.2455249695010254E-2</c:v>
                </c:pt>
                <c:pt idx="60">
                  <c:v>1.0952247993033688E-2</c:v>
                </c:pt>
                <c:pt idx="61">
                  <c:v>9.6322848171358083E-3</c:v>
                </c:pt>
                <c:pt idx="62">
                  <c:v>8.4728819011746954E-3</c:v>
                </c:pt>
                <c:pt idx="63">
                  <c:v>7.4543387816244575E-3</c:v>
                </c:pt>
                <c:pt idx="64">
                  <c:v>6.5593889570201456E-3</c:v>
                </c:pt>
                <c:pt idx="65">
                  <c:v>5.7728982759785311E-3</c:v>
                </c:pt>
                <c:pt idx="66">
                  <c:v>5.0816005104507072E-3</c:v>
                </c:pt>
                <c:pt idx="67">
                  <c:v>4.4738656292251785E-3</c:v>
                </c:pt>
                <c:pt idx="68">
                  <c:v>3.9394967958750618E-3</c:v>
                </c:pt>
                <c:pt idx="69">
                  <c:v>3.4695525758670822E-3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D4B5-4494-AFB1-D375D70B6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38197632"/>
        <c:axId val="-2039856688"/>
      </c:scatterChart>
      <c:valAx>
        <c:axId val="-2038197632"/>
        <c:scaling>
          <c:orientation val="minMax"/>
          <c:max val="3.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lang="es-CO"/>
                </a:pPr>
                <a:r>
                  <a:rPr lang="el-GR"/>
                  <a:t>θ =(</a:t>
                </a:r>
                <a:r>
                  <a:rPr lang="es-CO"/>
                  <a:t>t/TRH)</a:t>
                </a:r>
              </a:p>
            </c:rich>
          </c:tx>
          <c:layout>
            <c:manualLayout>
              <c:xMode val="edge"/>
              <c:yMode val="edge"/>
              <c:x val="0.40998454244602828"/>
              <c:y val="0.8248549901411577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/>
            </a:pPr>
            <a:endParaRPr lang="es-MX"/>
          </a:p>
        </c:txPr>
        <c:crossAx val="-2039856688"/>
        <c:crosses val="autoZero"/>
        <c:crossBetween val="midCat"/>
        <c:majorUnit val="1"/>
      </c:valAx>
      <c:valAx>
        <c:axId val="-2039856688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 lang="es-CO"/>
                </a:pPr>
                <a:r>
                  <a:rPr lang="es-CO"/>
                  <a:t>E(</a:t>
                </a:r>
                <a:r>
                  <a:rPr lang="el-GR"/>
                  <a:t>θ)</a:t>
                </a:r>
              </a:p>
            </c:rich>
          </c:tx>
          <c:layout>
            <c:manualLayout>
              <c:xMode val="edge"/>
              <c:yMode val="edge"/>
              <c:x val="2.8880935337628248E-2"/>
              <c:y val="0.3676963655405143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/>
            </a:pPr>
            <a:endParaRPr lang="es-MX"/>
          </a:p>
        </c:txPr>
        <c:crossAx val="-2038197632"/>
        <c:crosses val="autoZero"/>
        <c:crossBetween val="midCat"/>
        <c:majorUnit val="0.30000000000000032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7.8184720153224113E-2"/>
          <c:y val="0.89568012953604659"/>
          <c:w val="0.9"/>
          <c:h val="6.3539259085151664E-2"/>
        </c:manualLayout>
      </c:layout>
      <c:overlay val="0"/>
      <c:txPr>
        <a:bodyPr/>
        <a:lstStyle/>
        <a:p>
          <a:pPr>
            <a:defRPr lang="es-CO"/>
          </a:pPr>
          <a:endParaRPr lang="es-MX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 pitchFamily="18" charset="0"/>
          <a:ea typeface="Arial"/>
          <a:cs typeface="Arial"/>
        </a:defRPr>
      </a:pPr>
      <a:endParaRPr lang="es-MX"/>
    </a:p>
  </c:txPr>
  <c:printSettings>
    <c:headerFooter alignWithMargins="0"/>
    <c:pageMargins b="1" l="0.75000000000001465" r="0.75000000000001465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CO"/>
            </a:pPr>
            <a:r>
              <a:rPr lang="es-MX"/>
              <a:t>TRH 8 h. Punto 4</a:t>
            </a:r>
          </a:p>
        </c:rich>
      </c:tx>
      <c:layout>
        <c:manualLayout>
          <c:xMode val="edge"/>
          <c:yMode val="edge"/>
          <c:x val="0.31227425685713334"/>
          <c:y val="3.38028935407464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235503294535998"/>
          <c:y val="0.15627952755905511"/>
          <c:w val="0.72535472914083088"/>
          <c:h val="0.68385892388451464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'[1]TRH 8hE'!$M$12:$M$83</c:f>
              <c:strCache>
                <c:ptCount val="1"/>
                <c:pt idx="0">
                  <c:v>0 0 0 0 0 0 0 0 0 0 0 0 0 0 0 0 0.004550687 0.013601379 0.049804143 0.149361745 0.239868656 0.375629023 0.506864044 0.742182013 0.927721181 1.068006893 1.135887076 1.144937767 1.149463113 1.12231104 1.095158966 1.054430856 1.00012671 0.945822563 0.9005691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[1]TRH8hP4!$L$14:$L$71</c:f>
              <c:numCache>
                <c:formatCode>General</c:formatCode>
                <c:ptCount val="58"/>
                <c:pt idx="0">
                  <c:v>3.5014005602240904E-2</c:v>
                </c:pt>
                <c:pt idx="1">
                  <c:v>5.2521008403361352E-2</c:v>
                </c:pt>
                <c:pt idx="2">
                  <c:v>7.0028011204481808E-2</c:v>
                </c:pt>
                <c:pt idx="3">
                  <c:v>8.7535014005602249E-2</c:v>
                </c:pt>
                <c:pt idx="4">
                  <c:v>0.1050420168067227</c:v>
                </c:pt>
                <c:pt idx="5">
                  <c:v>0.12254901960784315</c:v>
                </c:pt>
                <c:pt idx="6">
                  <c:v>0.14005602240896362</c:v>
                </c:pt>
                <c:pt idx="7">
                  <c:v>0.15756302521008406</c:v>
                </c:pt>
                <c:pt idx="8">
                  <c:v>0.1750700280112045</c:v>
                </c:pt>
                <c:pt idx="9">
                  <c:v>0.19257703081232494</c:v>
                </c:pt>
                <c:pt idx="10">
                  <c:v>0.21008403361344541</c:v>
                </c:pt>
                <c:pt idx="11">
                  <c:v>0.24509803921568629</c:v>
                </c:pt>
                <c:pt idx="12">
                  <c:v>0.28011204481792723</c:v>
                </c:pt>
                <c:pt idx="13">
                  <c:v>0.31512605042016811</c:v>
                </c:pt>
                <c:pt idx="14">
                  <c:v>0.350140056022409</c:v>
                </c:pt>
                <c:pt idx="15">
                  <c:v>0.38515406162464988</c:v>
                </c:pt>
                <c:pt idx="16">
                  <c:v>0.42016806722689082</c:v>
                </c:pt>
                <c:pt idx="17">
                  <c:v>0.47268907563025214</c:v>
                </c:pt>
                <c:pt idx="18">
                  <c:v>0.52521008403361347</c:v>
                </c:pt>
                <c:pt idx="19">
                  <c:v>0.57773109243697485</c:v>
                </c:pt>
                <c:pt idx="20">
                  <c:v>0.63025210084033623</c:v>
                </c:pt>
                <c:pt idx="21">
                  <c:v>0.68277310924369761</c:v>
                </c:pt>
                <c:pt idx="22">
                  <c:v>0.73529411764705888</c:v>
                </c:pt>
                <c:pt idx="23">
                  <c:v>0.78781512605042026</c:v>
                </c:pt>
                <c:pt idx="24">
                  <c:v>0.84033613445378164</c:v>
                </c:pt>
                <c:pt idx="25">
                  <c:v>0.89285714285714302</c:v>
                </c:pt>
                <c:pt idx="26">
                  <c:v>0.94537815126050428</c:v>
                </c:pt>
                <c:pt idx="27">
                  <c:v>0.99789915966386566</c:v>
                </c:pt>
                <c:pt idx="28">
                  <c:v>1.0504201680672269</c:v>
                </c:pt>
                <c:pt idx="29">
                  <c:v>1.1204481792717089</c:v>
                </c:pt>
                <c:pt idx="30">
                  <c:v>1.1904761904761907</c:v>
                </c:pt>
                <c:pt idx="31">
                  <c:v>1.2605042016806725</c:v>
                </c:pt>
                <c:pt idx="32">
                  <c:v>1.3305322128851542</c:v>
                </c:pt>
                <c:pt idx="33">
                  <c:v>1.400560224089636</c:v>
                </c:pt>
                <c:pt idx="34">
                  <c:v>1.4705882352941178</c:v>
                </c:pt>
                <c:pt idx="35">
                  <c:v>1.5406162464985995</c:v>
                </c:pt>
                <c:pt idx="36">
                  <c:v>1.6106442577030815</c:v>
                </c:pt>
                <c:pt idx="37">
                  <c:v>1.6806722689075633</c:v>
                </c:pt>
                <c:pt idx="38">
                  <c:v>1.785714285714286</c:v>
                </c:pt>
                <c:pt idx="39">
                  <c:v>1.8907563025210086</c:v>
                </c:pt>
                <c:pt idx="40">
                  <c:v>1.9957983193277313</c:v>
                </c:pt>
                <c:pt idx="41">
                  <c:v>2.1008403361344539</c:v>
                </c:pt>
                <c:pt idx="42">
                  <c:v>2.2058823529411766</c:v>
                </c:pt>
                <c:pt idx="43">
                  <c:v>2.3109243697478994</c:v>
                </c:pt>
                <c:pt idx="44">
                  <c:v>2.4159663865546221</c:v>
                </c:pt>
                <c:pt idx="45">
                  <c:v>2.5210084033613449</c:v>
                </c:pt>
                <c:pt idx="46">
                  <c:v>2.7310924369747904</c:v>
                </c:pt>
                <c:pt idx="47">
                  <c:v>2.9411764705882355</c:v>
                </c:pt>
                <c:pt idx="48">
                  <c:v>3.151260504201681</c:v>
                </c:pt>
                <c:pt idx="49">
                  <c:v>3.3613445378151265</c:v>
                </c:pt>
                <c:pt idx="50">
                  <c:v>3.5714285714285721</c:v>
                </c:pt>
                <c:pt idx="51">
                  <c:v>3.7815126050420171</c:v>
                </c:pt>
                <c:pt idx="52">
                  <c:v>3.9915966386554627</c:v>
                </c:pt>
                <c:pt idx="53">
                  <c:v>4.2016806722689077</c:v>
                </c:pt>
                <c:pt idx="54">
                  <c:v>4.4117647058823533</c:v>
                </c:pt>
                <c:pt idx="55">
                  <c:v>4.6218487394957988</c:v>
                </c:pt>
                <c:pt idx="56">
                  <c:v>4.8319327731092443</c:v>
                </c:pt>
                <c:pt idx="57">
                  <c:v>5.0420168067226898</c:v>
                </c:pt>
              </c:numCache>
            </c:numRef>
          </c:xVal>
          <c:yVal>
            <c:numRef>
              <c:f>[1]TRH8hP4!$M$14:$M$71</c:f>
              <c:numCache>
                <c:formatCode>General</c:formatCode>
                <c:ptCount val="58"/>
                <c:pt idx="0">
                  <c:v>2.3634661090255561E-2</c:v>
                </c:pt>
                <c:pt idx="1">
                  <c:v>0.2178432558178596</c:v>
                </c:pt>
                <c:pt idx="2">
                  <c:v>0.35956304115962479</c:v>
                </c:pt>
                <c:pt idx="3">
                  <c:v>0.58526492151873222</c:v>
                </c:pt>
                <c:pt idx="4">
                  <c:v>2.6244404692919536E-4</c:v>
                </c:pt>
                <c:pt idx="5">
                  <c:v>0.66662257606678255</c:v>
                </c:pt>
                <c:pt idx="6">
                  <c:v>0.65612481418961466</c:v>
                </c:pt>
                <c:pt idx="7">
                  <c:v>0.68499365935182621</c:v>
                </c:pt>
                <c:pt idx="8">
                  <c:v>0.6876180998211181</c:v>
                </c:pt>
                <c:pt idx="9">
                  <c:v>0.69811586169828588</c:v>
                </c:pt>
                <c:pt idx="10">
                  <c:v>0.74273134967624888</c:v>
                </c:pt>
                <c:pt idx="11">
                  <c:v>0.81884012328571543</c:v>
                </c:pt>
                <c:pt idx="12">
                  <c:v>0.79259571859279598</c:v>
                </c:pt>
                <c:pt idx="13">
                  <c:v>0.77160019483846032</c:v>
                </c:pt>
                <c:pt idx="14">
                  <c:v>0.7847223971849201</c:v>
                </c:pt>
                <c:pt idx="15">
                  <c:v>0.75847799249200054</c:v>
                </c:pt>
                <c:pt idx="16">
                  <c:v>0.76372687343058454</c:v>
                </c:pt>
                <c:pt idx="17">
                  <c:v>0.69549142122899399</c:v>
                </c:pt>
                <c:pt idx="18">
                  <c:v>0.64300261184315499</c:v>
                </c:pt>
                <c:pt idx="19">
                  <c:v>0.63512929043527921</c:v>
                </c:pt>
                <c:pt idx="20">
                  <c:v>0.61675820715023555</c:v>
                </c:pt>
                <c:pt idx="21">
                  <c:v>0.55377163588722889</c:v>
                </c:pt>
                <c:pt idx="22">
                  <c:v>0.54327387401006111</c:v>
                </c:pt>
                <c:pt idx="23">
                  <c:v>0.53802499307147711</c:v>
                </c:pt>
                <c:pt idx="24">
                  <c:v>0.52752723119430933</c:v>
                </c:pt>
                <c:pt idx="25">
                  <c:v>0.51965390978643355</c:v>
                </c:pt>
                <c:pt idx="26">
                  <c:v>0.446169576646259</c:v>
                </c:pt>
                <c:pt idx="27">
                  <c:v>0.46191621946201067</c:v>
                </c:pt>
                <c:pt idx="28">
                  <c:v>0.49078506462422211</c:v>
                </c:pt>
                <c:pt idx="29">
                  <c:v>0.44092069570767511</c:v>
                </c:pt>
                <c:pt idx="30">
                  <c:v>0.43304737429979923</c:v>
                </c:pt>
                <c:pt idx="31">
                  <c:v>0.38843188632183623</c:v>
                </c:pt>
                <c:pt idx="32">
                  <c:v>0.32282087458953751</c:v>
                </c:pt>
                <c:pt idx="33">
                  <c:v>0.35693860069033279</c:v>
                </c:pt>
                <c:pt idx="34">
                  <c:v>0.30182535083520196</c:v>
                </c:pt>
                <c:pt idx="35">
                  <c:v>0.2440876605107791</c:v>
                </c:pt>
                <c:pt idx="36">
                  <c:v>0.22571657722573546</c:v>
                </c:pt>
                <c:pt idx="37">
                  <c:v>0.20734549394069182</c:v>
                </c:pt>
                <c:pt idx="38">
                  <c:v>0.1942232915942321</c:v>
                </c:pt>
                <c:pt idx="39">
                  <c:v>0.18634997018635624</c:v>
                </c:pt>
                <c:pt idx="40">
                  <c:v>0.15223224408556096</c:v>
                </c:pt>
                <c:pt idx="41">
                  <c:v>0.13648560126980924</c:v>
                </c:pt>
                <c:pt idx="42">
                  <c:v>0.13386116080051733</c:v>
                </c:pt>
                <c:pt idx="43">
                  <c:v>0.15748112502414485</c:v>
                </c:pt>
                <c:pt idx="44">
                  <c:v>0.14698336314697705</c:v>
                </c:pt>
                <c:pt idx="45">
                  <c:v>0.14960780361626902</c:v>
                </c:pt>
                <c:pt idx="46">
                  <c:v>9.4494553761138106E-2</c:v>
                </c:pt>
                <c:pt idx="47">
                  <c:v>7.874791094538644E-2</c:v>
                </c:pt>
                <c:pt idx="48">
                  <c:v>6.300126812963476E-2</c:v>
                </c:pt>
                <c:pt idx="49">
                  <c:v>4.9879065783175025E-2</c:v>
                </c:pt>
                <c:pt idx="50">
                  <c:v>3.1507982498131394E-2</c:v>
                </c:pt>
                <c:pt idx="51">
                  <c:v>2.8883542028839453E-2</c:v>
                </c:pt>
                <c:pt idx="52">
                  <c:v>2.3634661090255561E-2</c:v>
                </c:pt>
                <c:pt idx="53">
                  <c:v>1.5761339682379714E-2</c:v>
                </c:pt>
                <c:pt idx="54">
                  <c:v>1.0512458743795822E-2</c:v>
                </c:pt>
                <c:pt idx="55">
                  <c:v>1.0512458743795822E-2</c:v>
                </c:pt>
                <c:pt idx="56">
                  <c:v>7.8880182745038763E-3</c:v>
                </c:pt>
                <c:pt idx="57">
                  <c:v>5.2635778052119277E-3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FD67-4667-B980-5BD859C4A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27888816"/>
        <c:axId val="-1827885008"/>
      </c:scatterChart>
      <c:valAx>
        <c:axId val="-1827888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CO" b="1" i="0" baseline="0"/>
                </a:pPr>
                <a:r>
                  <a:rPr lang="el-GR" b="1" i="0" baseline="0"/>
                  <a:t>θ =(</a:t>
                </a:r>
                <a:r>
                  <a:rPr lang="es-CO" b="1" i="0" baseline="0"/>
                  <a:t>t/TRHt)</a:t>
                </a:r>
              </a:p>
            </c:rich>
          </c:tx>
          <c:layout>
            <c:manualLayout>
              <c:xMode val="edge"/>
              <c:yMode val="edge"/>
              <c:x val="0.37836397032650843"/>
              <c:y val="0.934307662761655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MX"/>
          </a:p>
        </c:txPr>
        <c:crossAx val="-1827885008"/>
        <c:crosses val="autoZero"/>
        <c:crossBetween val="midCat"/>
      </c:valAx>
      <c:valAx>
        <c:axId val="-182788500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CO" b="1" i="0" baseline="0"/>
                </a:pPr>
                <a:r>
                  <a:rPr lang="es-CO" b="1" i="0" baseline="0"/>
                  <a:t>E(</a:t>
                </a:r>
                <a:r>
                  <a:rPr lang="el-GR" b="1" i="0" baseline="0"/>
                  <a:t>θ)</a:t>
                </a:r>
              </a:p>
            </c:rich>
          </c:tx>
          <c:layout>
            <c:manualLayout>
              <c:xMode val="edge"/>
              <c:yMode val="edge"/>
              <c:x val="2.8880883560441026E-2"/>
              <c:y val="0.495774918379116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/>
            </a:pPr>
            <a:endParaRPr lang="es-MX"/>
          </a:p>
        </c:txPr>
        <c:crossAx val="-182788881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ahoma" pitchFamily="34" charset="0"/>
          <a:ea typeface="Arial"/>
          <a:cs typeface="Arial"/>
        </a:defRPr>
      </a:pPr>
      <a:endParaRPr lang="es-MX"/>
    </a:p>
  </c:txPr>
  <c:printSettings>
    <c:headerFooter alignWithMargins="0"/>
    <c:pageMargins b="1" l="0.75000000000001465" r="0.75000000000001465" t="1" header="0" footer="0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CO"/>
            </a:pPr>
            <a:r>
              <a:rPr lang="es-MX"/>
              <a:t>TRH 8 h. Punto 4</a:t>
            </a:r>
          </a:p>
        </c:rich>
      </c:tx>
      <c:layout>
        <c:manualLayout>
          <c:xMode val="edge"/>
          <c:yMode val="edge"/>
          <c:x val="0.31227425214232335"/>
          <c:y val="3.38027574139444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451606737435244"/>
          <c:y val="0.13000707756175023"/>
          <c:w val="0.77272000857796863"/>
          <c:h val="0.61817756793049972"/>
        </c:manualLayout>
      </c:layout>
      <c:scatterChart>
        <c:scatterStyle val="lineMarker"/>
        <c:varyColors val="0"/>
        <c:ser>
          <c:idx val="0"/>
          <c:order val="0"/>
          <c:tx>
            <c:v>Dato exp</c:v>
          </c:tx>
          <c:spPr>
            <a:ln w="15875">
              <a:solidFill>
                <a:schemeClr val="tx1"/>
              </a:solidFill>
              <a:prstDash val="solid"/>
            </a:ln>
          </c:spPr>
          <c:marker>
            <c:symbol val="triangle"/>
            <c:size val="4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trendline>
            <c:trendlineType val="log"/>
            <c:dispRSqr val="0"/>
            <c:dispEq val="0"/>
          </c:trendline>
          <c:xVal>
            <c:numRef>
              <c:f>[1]TRH8hP4!$L$12:$L$82</c:f>
              <c:numCache>
                <c:formatCode>General</c:formatCode>
                <c:ptCount val="71"/>
                <c:pt idx="0">
                  <c:v>0</c:v>
                </c:pt>
                <c:pt idx="1">
                  <c:v>1.7507002801120452E-2</c:v>
                </c:pt>
                <c:pt idx="2">
                  <c:v>3.5014005602240904E-2</c:v>
                </c:pt>
                <c:pt idx="3">
                  <c:v>5.2521008403361352E-2</c:v>
                </c:pt>
                <c:pt idx="4">
                  <c:v>7.0028011204481808E-2</c:v>
                </c:pt>
                <c:pt idx="5">
                  <c:v>8.7535014005602249E-2</c:v>
                </c:pt>
                <c:pt idx="6">
                  <c:v>0.1050420168067227</c:v>
                </c:pt>
                <c:pt idx="7">
                  <c:v>0.12254901960784315</c:v>
                </c:pt>
                <c:pt idx="8">
                  <c:v>0.14005602240896362</c:v>
                </c:pt>
                <c:pt idx="9">
                  <c:v>0.15756302521008406</c:v>
                </c:pt>
                <c:pt idx="10">
                  <c:v>0.1750700280112045</c:v>
                </c:pt>
                <c:pt idx="11">
                  <c:v>0.19257703081232494</c:v>
                </c:pt>
                <c:pt idx="12">
                  <c:v>0.21008403361344541</c:v>
                </c:pt>
                <c:pt idx="13">
                  <c:v>0.24509803921568629</c:v>
                </c:pt>
                <c:pt idx="14">
                  <c:v>0.28011204481792723</c:v>
                </c:pt>
                <c:pt idx="15">
                  <c:v>0.31512605042016811</c:v>
                </c:pt>
                <c:pt idx="16">
                  <c:v>0.350140056022409</c:v>
                </c:pt>
                <c:pt idx="17">
                  <c:v>0.38515406162464988</c:v>
                </c:pt>
                <c:pt idx="18">
                  <c:v>0.42016806722689082</c:v>
                </c:pt>
                <c:pt idx="19">
                  <c:v>0.47268907563025214</c:v>
                </c:pt>
                <c:pt idx="20">
                  <c:v>0.52521008403361347</c:v>
                </c:pt>
                <c:pt idx="21">
                  <c:v>0.57773109243697485</c:v>
                </c:pt>
                <c:pt idx="22">
                  <c:v>0.63025210084033623</c:v>
                </c:pt>
                <c:pt idx="23">
                  <c:v>0.68277310924369761</c:v>
                </c:pt>
                <c:pt idx="24">
                  <c:v>0.73529411764705888</c:v>
                </c:pt>
                <c:pt idx="25">
                  <c:v>0.78781512605042026</c:v>
                </c:pt>
                <c:pt idx="26">
                  <c:v>0.84033613445378164</c:v>
                </c:pt>
                <c:pt idx="27">
                  <c:v>0.89285714285714302</c:v>
                </c:pt>
                <c:pt idx="28">
                  <c:v>0.94537815126050428</c:v>
                </c:pt>
                <c:pt idx="29">
                  <c:v>0.99789915966386566</c:v>
                </c:pt>
                <c:pt idx="30">
                  <c:v>1.0504201680672269</c:v>
                </c:pt>
                <c:pt idx="31">
                  <c:v>1.1204481792717089</c:v>
                </c:pt>
                <c:pt idx="32">
                  <c:v>1.1904761904761907</c:v>
                </c:pt>
                <c:pt idx="33">
                  <c:v>1.2605042016806725</c:v>
                </c:pt>
                <c:pt idx="34">
                  <c:v>1.3305322128851542</c:v>
                </c:pt>
                <c:pt idx="35">
                  <c:v>1.400560224089636</c:v>
                </c:pt>
                <c:pt idx="36">
                  <c:v>1.4705882352941178</c:v>
                </c:pt>
                <c:pt idx="37">
                  <c:v>1.5406162464985995</c:v>
                </c:pt>
                <c:pt idx="38">
                  <c:v>1.6106442577030815</c:v>
                </c:pt>
                <c:pt idx="39">
                  <c:v>1.6806722689075633</c:v>
                </c:pt>
                <c:pt idx="40">
                  <c:v>1.785714285714286</c:v>
                </c:pt>
                <c:pt idx="41">
                  <c:v>1.8907563025210086</c:v>
                </c:pt>
                <c:pt idx="42">
                  <c:v>1.9957983193277313</c:v>
                </c:pt>
                <c:pt idx="43">
                  <c:v>2.1008403361344539</c:v>
                </c:pt>
                <c:pt idx="44">
                  <c:v>2.2058823529411766</c:v>
                </c:pt>
                <c:pt idx="45">
                  <c:v>2.3109243697478994</c:v>
                </c:pt>
                <c:pt idx="46">
                  <c:v>2.4159663865546221</c:v>
                </c:pt>
                <c:pt idx="47">
                  <c:v>2.5210084033613449</c:v>
                </c:pt>
                <c:pt idx="48">
                  <c:v>2.7310924369747904</c:v>
                </c:pt>
                <c:pt idx="49">
                  <c:v>2.9411764705882355</c:v>
                </c:pt>
                <c:pt idx="50">
                  <c:v>3.151260504201681</c:v>
                </c:pt>
                <c:pt idx="51">
                  <c:v>3.3613445378151265</c:v>
                </c:pt>
                <c:pt idx="52">
                  <c:v>3.5714285714285721</c:v>
                </c:pt>
                <c:pt idx="53">
                  <c:v>3.7815126050420171</c:v>
                </c:pt>
                <c:pt idx="54">
                  <c:v>3.9915966386554627</c:v>
                </c:pt>
                <c:pt idx="55">
                  <c:v>4.2016806722689077</c:v>
                </c:pt>
                <c:pt idx="56">
                  <c:v>4.4117647058823533</c:v>
                </c:pt>
                <c:pt idx="57">
                  <c:v>4.6218487394957988</c:v>
                </c:pt>
                <c:pt idx="58">
                  <c:v>4.8319327731092443</c:v>
                </c:pt>
                <c:pt idx="59">
                  <c:v>5.0420168067226898</c:v>
                </c:pt>
                <c:pt idx="60">
                  <c:v>5.1470588235294121</c:v>
                </c:pt>
                <c:pt idx="61">
                  <c:v>5.2521008403361353</c:v>
                </c:pt>
                <c:pt idx="62">
                  <c:v>5.3571428571428577</c:v>
                </c:pt>
                <c:pt idx="63">
                  <c:v>5.4621848739495809</c:v>
                </c:pt>
                <c:pt idx="64">
                  <c:v>5.5672268907563032</c:v>
                </c:pt>
                <c:pt idx="65">
                  <c:v>5.6722689075630255</c:v>
                </c:pt>
                <c:pt idx="66">
                  <c:v>5.7773109243697487</c:v>
                </c:pt>
                <c:pt idx="67">
                  <c:v>5.882352941176471</c:v>
                </c:pt>
                <c:pt idx="68">
                  <c:v>5.9873949579831942</c:v>
                </c:pt>
                <c:pt idx="69">
                  <c:v>6.0924369747899165</c:v>
                </c:pt>
                <c:pt idx="70">
                  <c:v>6.1974789915966397</c:v>
                </c:pt>
              </c:numCache>
            </c:numRef>
          </c:xVal>
          <c:yVal>
            <c:numRef>
              <c:f>[1]TRH8hP4!$M$12:$M$82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2.3634661090255561E-2</c:v>
                </c:pt>
                <c:pt idx="3">
                  <c:v>0.2178432558178596</c:v>
                </c:pt>
                <c:pt idx="4">
                  <c:v>0.35956304115962479</c:v>
                </c:pt>
                <c:pt idx="5">
                  <c:v>0.58526492151873222</c:v>
                </c:pt>
                <c:pt idx="6">
                  <c:v>2.6244404692919536E-4</c:v>
                </c:pt>
                <c:pt idx="7">
                  <c:v>0.66662257606678255</c:v>
                </c:pt>
                <c:pt idx="8">
                  <c:v>0.65612481418961466</c:v>
                </c:pt>
                <c:pt idx="9">
                  <c:v>0.68499365935182621</c:v>
                </c:pt>
                <c:pt idx="10">
                  <c:v>0.6876180998211181</c:v>
                </c:pt>
                <c:pt idx="11">
                  <c:v>0.69811586169828588</c:v>
                </c:pt>
                <c:pt idx="12">
                  <c:v>0.74273134967624888</c:v>
                </c:pt>
                <c:pt idx="13">
                  <c:v>0.81884012328571543</c:v>
                </c:pt>
                <c:pt idx="14">
                  <c:v>0.79259571859279598</c:v>
                </c:pt>
                <c:pt idx="15">
                  <c:v>0.77160019483846032</c:v>
                </c:pt>
                <c:pt idx="16">
                  <c:v>0.7847223971849201</c:v>
                </c:pt>
                <c:pt idx="17">
                  <c:v>0.75847799249200054</c:v>
                </c:pt>
                <c:pt idx="18">
                  <c:v>0.76372687343058454</c:v>
                </c:pt>
                <c:pt idx="19">
                  <c:v>0.69549142122899399</c:v>
                </c:pt>
                <c:pt idx="20">
                  <c:v>0.64300261184315499</c:v>
                </c:pt>
                <c:pt idx="21">
                  <c:v>0.63512929043527921</c:v>
                </c:pt>
                <c:pt idx="22">
                  <c:v>0.61675820715023555</c:v>
                </c:pt>
                <c:pt idx="23">
                  <c:v>0.55377163588722889</c:v>
                </c:pt>
                <c:pt idx="24">
                  <c:v>0.54327387401006111</c:v>
                </c:pt>
                <c:pt idx="25">
                  <c:v>0.53802499307147711</c:v>
                </c:pt>
                <c:pt idx="26">
                  <c:v>0.52752723119430933</c:v>
                </c:pt>
                <c:pt idx="27">
                  <c:v>0.51965390978643355</c:v>
                </c:pt>
                <c:pt idx="28">
                  <c:v>0.446169576646259</c:v>
                </c:pt>
                <c:pt idx="29">
                  <c:v>0.46191621946201067</c:v>
                </c:pt>
                <c:pt idx="30">
                  <c:v>0.49078506462422211</c:v>
                </c:pt>
                <c:pt idx="31">
                  <c:v>0.44092069570767511</c:v>
                </c:pt>
                <c:pt idx="32">
                  <c:v>0.43304737429979923</c:v>
                </c:pt>
                <c:pt idx="33">
                  <c:v>0.38843188632183623</c:v>
                </c:pt>
                <c:pt idx="34">
                  <c:v>0.32282087458953751</c:v>
                </c:pt>
                <c:pt idx="35">
                  <c:v>0.35693860069033279</c:v>
                </c:pt>
                <c:pt idx="36">
                  <c:v>0.30182535083520196</c:v>
                </c:pt>
                <c:pt idx="37">
                  <c:v>0.2440876605107791</c:v>
                </c:pt>
                <c:pt idx="38">
                  <c:v>0.22571657722573546</c:v>
                </c:pt>
                <c:pt idx="39">
                  <c:v>0.20734549394069182</c:v>
                </c:pt>
                <c:pt idx="40">
                  <c:v>0.1942232915942321</c:v>
                </c:pt>
                <c:pt idx="41">
                  <c:v>0.18634997018635624</c:v>
                </c:pt>
                <c:pt idx="42">
                  <c:v>0.15223224408556096</c:v>
                </c:pt>
                <c:pt idx="43">
                  <c:v>0.13648560126980924</c:v>
                </c:pt>
                <c:pt idx="44">
                  <c:v>0.13386116080051733</c:v>
                </c:pt>
                <c:pt idx="45">
                  <c:v>0.15748112502414485</c:v>
                </c:pt>
                <c:pt idx="46">
                  <c:v>0.14698336314697705</c:v>
                </c:pt>
                <c:pt idx="47">
                  <c:v>0.14960780361626902</c:v>
                </c:pt>
                <c:pt idx="48">
                  <c:v>9.4494553761138106E-2</c:v>
                </c:pt>
                <c:pt idx="49">
                  <c:v>7.874791094538644E-2</c:v>
                </c:pt>
                <c:pt idx="50">
                  <c:v>6.300126812963476E-2</c:v>
                </c:pt>
                <c:pt idx="51">
                  <c:v>4.9879065783175025E-2</c:v>
                </c:pt>
                <c:pt idx="52">
                  <c:v>3.1507982498131394E-2</c:v>
                </c:pt>
                <c:pt idx="53">
                  <c:v>2.8883542028839453E-2</c:v>
                </c:pt>
                <c:pt idx="54">
                  <c:v>2.3634661090255561E-2</c:v>
                </c:pt>
                <c:pt idx="55">
                  <c:v>1.5761339682379714E-2</c:v>
                </c:pt>
                <c:pt idx="56">
                  <c:v>1.0512458743795822E-2</c:v>
                </c:pt>
                <c:pt idx="57">
                  <c:v>1.0512458743795822E-2</c:v>
                </c:pt>
                <c:pt idx="58">
                  <c:v>7.8880182745038763E-3</c:v>
                </c:pt>
                <c:pt idx="59">
                  <c:v>5.2635778052119277E-3</c:v>
                </c:pt>
                <c:pt idx="60">
                  <c:v>2.6391373359199825E-3</c:v>
                </c:pt>
                <c:pt idx="61">
                  <c:v>2.6391373359199825E-3</c:v>
                </c:pt>
                <c:pt idx="62">
                  <c:v>2.6391373359199825E-3</c:v>
                </c:pt>
                <c:pt idx="63">
                  <c:v>2.6391373359199825E-3</c:v>
                </c:pt>
                <c:pt idx="64">
                  <c:v>1.4696866628035513E-5</c:v>
                </c:pt>
                <c:pt idx="65">
                  <c:v>1.4696866628035513E-5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DB13-4F73-AB2B-73BE3EF07A86}"/>
            </c:ext>
          </c:extLst>
        </c:ser>
        <c:ser>
          <c:idx val="1"/>
          <c:order val="1"/>
          <c:tx>
            <c:v>Tanq. Serie</c:v>
          </c:tx>
          <c:spPr>
            <a:ln w="12700"/>
          </c:spPr>
          <c:marker>
            <c:symbol val="squar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trendline>
            <c:trendlineType val="log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log"/>
            <c:dispRSqr val="0"/>
            <c:dispEq val="0"/>
          </c:trendline>
          <c:xVal>
            <c:numRef>
              <c:f>[1]TRH8hP4!$L$12:$L$82</c:f>
              <c:numCache>
                <c:formatCode>General</c:formatCode>
                <c:ptCount val="71"/>
                <c:pt idx="0">
                  <c:v>0</c:v>
                </c:pt>
                <c:pt idx="1">
                  <c:v>1.7507002801120452E-2</c:v>
                </c:pt>
                <c:pt idx="2">
                  <c:v>3.5014005602240904E-2</c:v>
                </c:pt>
                <c:pt idx="3">
                  <c:v>5.2521008403361352E-2</c:v>
                </c:pt>
                <c:pt idx="4">
                  <c:v>7.0028011204481808E-2</c:v>
                </c:pt>
                <c:pt idx="5">
                  <c:v>8.7535014005602249E-2</c:v>
                </c:pt>
                <c:pt idx="6">
                  <c:v>0.1050420168067227</c:v>
                </c:pt>
                <c:pt idx="7">
                  <c:v>0.12254901960784315</c:v>
                </c:pt>
                <c:pt idx="8">
                  <c:v>0.14005602240896362</c:v>
                </c:pt>
                <c:pt idx="9">
                  <c:v>0.15756302521008406</c:v>
                </c:pt>
                <c:pt idx="10">
                  <c:v>0.1750700280112045</c:v>
                </c:pt>
                <c:pt idx="11">
                  <c:v>0.19257703081232494</c:v>
                </c:pt>
                <c:pt idx="12">
                  <c:v>0.21008403361344541</c:v>
                </c:pt>
                <c:pt idx="13">
                  <c:v>0.24509803921568629</c:v>
                </c:pt>
                <c:pt idx="14">
                  <c:v>0.28011204481792723</c:v>
                </c:pt>
                <c:pt idx="15">
                  <c:v>0.31512605042016811</c:v>
                </c:pt>
                <c:pt idx="16">
                  <c:v>0.350140056022409</c:v>
                </c:pt>
                <c:pt idx="17">
                  <c:v>0.38515406162464988</c:v>
                </c:pt>
                <c:pt idx="18">
                  <c:v>0.42016806722689082</c:v>
                </c:pt>
                <c:pt idx="19">
                  <c:v>0.47268907563025214</c:v>
                </c:pt>
                <c:pt idx="20">
                  <c:v>0.52521008403361347</c:v>
                </c:pt>
                <c:pt idx="21">
                  <c:v>0.57773109243697485</c:v>
                </c:pt>
                <c:pt idx="22">
                  <c:v>0.63025210084033623</c:v>
                </c:pt>
                <c:pt idx="23">
                  <c:v>0.68277310924369761</c:v>
                </c:pt>
                <c:pt idx="24">
                  <c:v>0.73529411764705888</c:v>
                </c:pt>
                <c:pt idx="25">
                  <c:v>0.78781512605042026</c:v>
                </c:pt>
                <c:pt idx="26">
                  <c:v>0.84033613445378164</c:v>
                </c:pt>
                <c:pt idx="27">
                  <c:v>0.89285714285714302</c:v>
                </c:pt>
                <c:pt idx="28">
                  <c:v>0.94537815126050428</c:v>
                </c:pt>
                <c:pt idx="29">
                  <c:v>0.99789915966386566</c:v>
                </c:pt>
                <c:pt idx="30">
                  <c:v>1.0504201680672269</c:v>
                </c:pt>
                <c:pt idx="31">
                  <c:v>1.1204481792717089</c:v>
                </c:pt>
                <c:pt idx="32">
                  <c:v>1.1904761904761907</c:v>
                </c:pt>
                <c:pt idx="33">
                  <c:v>1.2605042016806725</c:v>
                </c:pt>
                <c:pt idx="34">
                  <c:v>1.3305322128851542</c:v>
                </c:pt>
                <c:pt idx="35">
                  <c:v>1.400560224089636</c:v>
                </c:pt>
                <c:pt idx="36">
                  <c:v>1.4705882352941178</c:v>
                </c:pt>
                <c:pt idx="37">
                  <c:v>1.5406162464985995</c:v>
                </c:pt>
                <c:pt idx="38">
                  <c:v>1.6106442577030815</c:v>
                </c:pt>
                <c:pt idx="39">
                  <c:v>1.6806722689075633</c:v>
                </c:pt>
                <c:pt idx="40">
                  <c:v>1.785714285714286</c:v>
                </c:pt>
                <c:pt idx="41">
                  <c:v>1.8907563025210086</c:v>
                </c:pt>
                <c:pt idx="42">
                  <c:v>1.9957983193277313</c:v>
                </c:pt>
                <c:pt idx="43">
                  <c:v>2.1008403361344539</c:v>
                </c:pt>
                <c:pt idx="44">
                  <c:v>2.2058823529411766</c:v>
                </c:pt>
                <c:pt idx="45">
                  <c:v>2.3109243697478994</c:v>
                </c:pt>
                <c:pt idx="46">
                  <c:v>2.4159663865546221</c:v>
                </c:pt>
                <c:pt idx="47">
                  <c:v>2.5210084033613449</c:v>
                </c:pt>
                <c:pt idx="48">
                  <c:v>2.7310924369747904</c:v>
                </c:pt>
                <c:pt idx="49">
                  <c:v>2.9411764705882355</c:v>
                </c:pt>
                <c:pt idx="50">
                  <c:v>3.151260504201681</c:v>
                </c:pt>
                <c:pt idx="51">
                  <c:v>3.3613445378151265</c:v>
                </c:pt>
                <c:pt idx="52">
                  <c:v>3.5714285714285721</c:v>
                </c:pt>
                <c:pt idx="53">
                  <c:v>3.7815126050420171</c:v>
                </c:pt>
                <c:pt idx="54">
                  <c:v>3.9915966386554627</c:v>
                </c:pt>
                <c:pt idx="55">
                  <c:v>4.2016806722689077</c:v>
                </c:pt>
                <c:pt idx="56">
                  <c:v>4.4117647058823533</c:v>
                </c:pt>
                <c:pt idx="57">
                  <c:v>4.6218487394957988</c:v>
                </c:pt>
                <c:pt idx="58">
                  <c:v>4.8319327731092443</c:v>
                </c:pt>
                <c:pt idx="59">
                  <c:v>5.0420168067226898</c:v>
                </c:pt>
                <c:pt idx="60">
                  <c:v>5.1470588235294121</c:v>
                </c:pt>
                <c:pt idx="61">
                  <c:v>5.2521008403361353</c:v>
                </c:pt>
                <c:pt idx="62">
                  <c:v>5.3571428571428577</c:v>
                </c:pt>
                <c:pt idx="63">
                  <c:v>5.4621848739495809</c:v>
                </c:pt>
                <c:pt idx="64">
                  <c:v>5.5672268907563032</c:v>
                </c:pt>
                <c:pt idx="65">
                  <c:v>5.6722689075630255</c:v>
                </c:pt>
                <c:pt idx="66">
                  <c:v>5.7773109243697487</c:v>
                </c:pt>
                <c:pt idx="67">
                  <c:v>5.882352941176471</c:v>
                </c:pt>
                <c:pt idx="68">
                  <c:v>5.9873949579831942</c:v>
                </c:pt>
                <c:pt idx="69">
                  <c:v>6.0924369747899165</c:v>
                </c:pt>
                <c:pt idx="70">
                  <c:v>6.1974789915966397</c:v>
                </c:pt>
              </c:numCache>
            </c:numRef>
          </c:xVal>
          <c:yVal>
            <c:numRef>
              <c:f>[1]TRH8hP4!$Q$12:$Q$82</c:f>
              <c:numCache>
                <c:formatCode>General</c:formatCode>
                <c:ptCount val="71"/>
                <c:pt idx="0">
                  <c:v>0</c:v>
                </c:pt>
                <c:pt idx="1">
                  <c:v>0.22336730220434281</c:v>
                </c:pt>
                <c:pt idx="2">
                  <c:v>0.3123094994589376</c:v>
                </c:pt>
                <c:pt idx="3">
                  <c:v>0.37577922738439562</c:v>
                </c:pt>
                <c:pt idx="4">
                  <c:v>0.42518577594589679</c:v>
                </c:pt>
                <c:pt idx="5">
                  <c:v>0.46515071381796991</c:v>
                </c:pt>
                <c:pt idx="6">
                  <c:v>0.49814323850800779</c:v>
                </c:pt>
                <c:pt idx="7">
                  <c:v>0.52568840948104634</c:v>
                </c:pt>
                <c:pt idx="8">
                  <c:v>0.5488177331535028</c:v>
                </c:pt>
                <c:pt idx="9">
                  <c:v>0.56827387387947648</c:v>
                </c:pt>
                <c:pt idx="10">
                  <c:v>0.58461645851604116</c:v>
                </c:pt>
                <c:pt idx="11">
                  <c:v>0.59828202790338592</c:v>
                </c:pt>
                <c:pt idx="12">
                  <c:v>0.60962044479913102</c:v>
                </c:pt>
                <c:pt idx="13">
                  <c:v>0.6264142416997609</c:v>
                </c:pt>
                <c:pt idx="14">
                  <c:v>0.63677982401389222</c:v>
                </c:pt>
                <c:pt idx="15">
                  <c:v>0.64201738240395356</c:v>
                </c:pt>
                <c:pt idx="16">
                  <c:v>0.64311416007635636</c:v>
                </c:pt>
                <c:pt idx="17">
                  <c:v>0.64084194361844127</c:v>
                </c:pt>
                <c:pt idx="18">
                  <c:v>0.63581743545330116</c:v>
                </c:pt>
                <c:pt idx="19">
                  <c:v>0.62419151776952075</c:v>
                </c:pt>
                <c:pt idx="20">
                  <c:v>0.60881744152829398</c:v>
                </c:pt>
                <c:pt idx="21">
                  <c:v>0.5907148385230736</c:v>
                </c:pt>
                <c:pt idx="22">
                  <c:v>0.57067299550820783</c:v>
                </c:pt>
                <c:pt idx="23">
                  <c:v>0.54930930329762073</c:v>
                </c:pt>
                <c:pt idx="24">
                  <c:v>0.52710989885206461</c:v>
                </c:pt>
                <c:pt idx="25">
                  <c:v>0.50445889897686036</c:v>
                </c:pt>
                <c:pt idx="26">
                  <c:v>0.48166001442078937</c:v>
                </c:pt>
                <c:pt idx="27">
                  <c:v>0.45895289461830696</c:v>
                </c:pt>
                <c:pt idx="28">
                  <c:v>0.4365257196192871</c:v>
                </c:pt>
                <c:pt idx="29">
                  <c:v>0.41452505150493701</c:v>
                </c:pt>
                <c:pt idx="30">
                  <c:v>0.39306364114644066</c:v>
                </c:pt>
                <c:pt idx="31">
                  <c:v>0.36543119427064991</c:v>
                </c:pt>
                <c:pt idx="32">
                  <c:v>0.33904791176493465</c:v>
                </c:pt>
                <c:pt idx="33">
                  <c:v>0.31400078597339065</c:v>
                </c:pt>
                <c:pt idx="34">
                  <c:v>0.29033515003323646</c:v>
                </c:pt>
                <c:pt idx="35">
                  <c:v>0.26806471146977662</c:v>
                </c:pt>
                <c:pt idx="36">
                  <c:v>0.24717936439071256</c:v>
                </c:pt>
                <c:pt idx="37">
                  <c:v>0.22765129716310667</c:v>
                </c:pt>
                <c:pt idx="38">
                  <c:v>0.20943977897192972</c:v>
                </c:pt>
                <c:pt idx="39">
                  <c:v>0.1924949139819073</c:v>
                </c:pt>
                <c:pt idx="40">
                  <c:v>0.16932870663474625</c:v>
                </c:pt>
                <c:pt idx="41">
                  <c:v>0.14868122401752584</c:v>
                </c:pt>
                <c:pt idx="42">
                  <c:v>0.13034095109152766</c:v>
                </c:pt>
                <c:pt idx="43">
                  <c:v>0.11409767365071116</c:v>
                </c:pt>
                <c:pt idx="44">
                  <c:v>9.9748237265387688E-2</c:v>
                </c:pt>
                <c:pt idx="45">
                  <c:v>8.7100174096700844E-2</c:v>
                </c:pt>
                <c:pt idx="46">
                  <c:v>7.5973815889450791E-2</c:v>
                </c:pt>
                <c:pt idx="47">
                  <c:v>6.6203340493674961E-2</c:v>
                </c:pt>
                <c:pt idx="48">
                  <c:v>5.0137303734590868E-2</c:v>
                </c:pt>
                <c:pt idx="49">
                  <c:v>3.7852679835743537E-2</c:v>
                </c:pt>
                <c:pt idx="50">
                  <c:v>2.8501826091456288E-2</c:v>
                </c:pt>
                <c:pt idx="51">
                  <c:v>2.1411097609193162E-2</c:v>
                </c:pt>
                <c:pt idx="52">
                  <c:v>1.6051583753029886E-2</c:v>
                </c:pt>
                <c:pt idx="53">
                  <c:v>1.2011881846378454E-2</c:v>
                </c:pt>
                <c:pt idx="54">
                  <c:v>8.9743589363389647E-3</c:v>
                </c:pt>
                <c:pt idx="55">
                  <c:v>6.6952525768849943E-3</c:v>
                </c:pt>
                <c:pt idx="56">
                  <c:v>4.9884202235147305E-3</c:v>
                </c:pt>
                <c:pt idx="57">
                  <c:v>3.7123118405581377E-3</c:v>
                </c:pt>
                <c:pt idx="58">
                  <c:v>2.7596689891485147E-3</c:v>
                </c:pt>
                <c:pt idx="59">
                  <c:v>2.0494653630734614E-3</c:v>
                </c:pt>
                <c:pt idx="60">
                  <c:v>1.7655606328827527E-3</c:v>
                </c:pt>
                <c:pt idx="61">
                  <c:v>1.520653448209815E-3</c:v>
                </c:pt>
                <c:pt idx="62">
                  <c:v>1.3094447134469583E-3</c:v>
                </c:pt>
                <c:pt idx="63">
                  <c:v>1.1273451635341186E-3</c:v>
                </c:pt>
                <c:pt idx="64">
                  <c:v>9.7038213050971327E-4</c:v>
                </c:pt>
                <c:pt idx="65">
                  <c:v>8.3511821255403897E-4</c:v>
                </c:pt>
                <c:pt idx="66">
                  <c:v>7.185803917409754E-4</c:v>
                </c:pt>
                <c:pt idx="67">
                  <c:v>6.1819831117326655E-4</c:v>
                </c:pt>
                <c:pt idx="68">
                  <c:v>5.3175057079923079E-4</c:v>
                </c:pt>
                <c:pt idx="69">
                  <c:v>4.5731803488055538E-4</c:v>
                </c:pt>
                <c:pt idx="70">
                  <c:v>3.9324326381346764E-4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DB13-4F73-AB2B-73BE3EF07A86}"/>
            </c:ext>
          </c:extLst>
        </c:ser>
        <c:ser>
          <c:idx val="2"/>
          <c:order val="2"/>
          <c:tx>
            <c:v>GD</c:v>
          </c:tx>
          <c:spPr>
            <a:ln w="19050">
              <a:solidFill>
                <a:schemeClr val="tx1"/>
              </a:solidFill>
              <a:prstDash val="sysDash"/>
            </a:ln>
          </c:spPr>
          <c:marker>
            <c:symbol val="none"/>
          </c:marker>
          <c:xVal>
            <c:numRef>
              <c:f>[1]TRH8hP4!$L$12:$L$82</c:f>
              <c:numCache>
                <c:formatCode>General</c:formatCode>
                <c:ptCount val="71"/>
                <c:pt idx="0">
                  <c:v>0</c:v>
                </c:pt>
                <c:pt idx="1">
                  <c:v>1.7507002801120452E-2</c:v>
                </c:pt>
                <c:pt idx="2">
                  <c:v>3.5014005602240904E-2</c:v>
                </c:pt>
                <c:pt idx="3">
                  <c:v>5.2521008403361352E-2</c:v>
                </c:pt>
                <c:pt idx="4">
                  <c:v>7.0028011204481808E-2</c:v>
                </c:pt>
                <c:pt idx="5">
                  <c:v>8.7535014005602249E-2</c:v>
                </c:pt>
                <c:pt idx="6">
                  <c:v>0.1050420168067227</c:v>
                </c:pt>
                <c:pt idx="7">
                  <c:v>0.12254901960784315</c:v>
                </c:pt>
                <c:pt idx="8">
                  <c:v>0.14005602240896362</c:v>
                </c:pt>
                <c:pt idx="9">
                  <c:v>0.15756302521008406</c:v>
                </c:pt>
                <c:pt idx="10">
                  <c:v>0.1750700280112045</c:v>
                </c:pt>
                <c:pt idx="11">
                  <c:v>0.19257703081232494</c:v>
                </c:pt>
                <c:pt idx="12">
                  <c:v>0.21008403361344541</c:v>
                </c:pt>
                <c:pt idx="13">
                  <c:v>0.24509803921568629</c:v>
                </c:pt>
                <c:pt idx="14">
                  <c:v>0.28011204481792723</c:v>
                </c:pt>
                <c:pt idx="15">
                  <c:v>0.31512605042016811</c:v>
                </c:pt>
                <c:pt idx="16">
                  <c:v>0.350140056022409</c:v>
                </c:pt>
                <c:pt idx="17">
                  <c:v>0.38515406162464988</c:v>
                </c:pt>
                <c:pt idx="18">
                  <c:v>0.42016806722689082</c:v>
                </c:pt>
                <c:pt idx="19">
                  <c:v>0.47268907563025214</c:v>
                </c:pt>
                <c:pt idx="20">
                  <c:v>0.52521008403361347</c:v>
                </c:pt>
                <c:pt idx="21">
                  <c:v>0.57773109243697485</c:v>
                </c:pt>
                <c:pt idx="22">
                  <c:v>0.63025210084033623</c:v>
                </c:pt>
                <c:pt idx="23">
                  <c:v>0.68277310924369761</c:v>
                </c:pt>
                <c:pt idx="24">
                  <c:v>0.73529411764705888</c:v>
                </c:pt>
                <c:pt idx="25">
                  <c:v>0.78781512605042026</c:v>
                </c:pt>
                <c:pt idx="26">
                  <c:v>0.84033613445378164</c:v>
                </c:pt>
                <c:pt idx="27">
                  <c:v>0.89285714285714302</c:v>
                </c:pt>
                <c:pt idx="28">
                  <c:v>0.94537815126050428</c:v>
                </c:pt>
                <c:pt idx="29">
                  <c:v>0.99789915966386566</c:v>
                </c:pt>
                <c:pt idx="30">
                  <c:v>1.0504201680672269</c:v>
                </c:pt>
                <c:pt idx="31">
                  <c:v>1.1204481792717089</c:v>
                </c:pt>
                <c:pt idx="32">
                  <c:v>1.1904761904761907</c:v>
                </c:pt>
                <c:pt idx="33">
                  <c:v>1.2605042016806725</c:v>
                </c:pt>
                <c:pt idx="34">
                  <c:v>1.3305322128851542</c:v>
                </c:pt>
                <c:pt idx="35">
                  <c:v>1.400560224089636</c:v>
                </c:pt>
                <c:pt idx="36">
                  <c:v>1.4705882352941178</c:v>
                </c:pt>
                <c:pt idx="37">
                  <c:v>1.5406162464985995</c:v>
                </c:pt>
                <c:pt idx="38">
                  <c:v>1.6106442577030815</c:v>
                </c:pt>
                <c:pt idx="39">
                  <c:v>1.6806722689075633</c:v>
                </c:pt>
                <c:pt idx="40">
                  <c:v>1.785714285714286</c:v>
                </c:pt>
                <c:pt idx="41">
                  <c:v>1.8907563025210086</c:v>
                </c:pt>
                <c:pt idx="42">
                  <c:v>1.9957983193277313</c:v>
                </c:pt>
                <c:pt idx="43">
                  <c:v>2.1008403361344539</c:v>
                </c:pt>
                <c:pt idx="44">
                  <c:v>2.2058823529411766</c:v>
                </c:pt>
                <c:pt idx="45">
                  <c:v>2.3109243697478994</c:v>
                </c:pt>
                <c:pt idx="46">
                  <c:v>2.4159663865546221</c:v>
                </c:pt>
                <c:pt idx="47">
                  <c:v>2.5210084033613449</c:v>
                </c:pt>
                <c:pt idx="48">
                  <c:v>2.7310924369747904</c:v>
                </c:pt>
                <c:pt idx="49">
                  <c:v>2.9411764705882355</c:v>
                </c:pt>
                <c:pt idx="50">
                  <c:v>3.151260504201681</c:v>
                </c:pt>
                <c:pt idx="51">
                  <c:v>3.3613445378151265</c:v>
                </c:pt>
                <c:pt idx="52">
                  <c:v>3.5714285714285721</c:v>
                </c:pt>
                <c:pt idx="53">
                  <c:v>3.7815126050420171</c:v>
                </c:pt>
                <c:pt idx="54">
                  <c:v>3.9915966386554627</c:v>
                </c:pt>
                <c:pt idx="55">
                  <c:v>4.2016806722689077</c:v>
                </c:pt>
                <c:pt idx="56">
                  <c:v>4.4117647058823533</c:v>
                </c:pt>
                <c:pt idx="57">
                  <c:v>4.6218487394957988</c:v>
                </c:pt>
                <c:pt idx="58">
                  <c:v>4.8319327731092443</c:v>
                </c:pt>
                <c:pt idx="59">
                  <c:v>5.0420168067226898</c:v>
                </c:pt>
                <c:pt idx="60">
                  <c:v>5.1470588235294121</c:v>
                </c:pt>
                <c:pt idx="61">
                  <c:v>5.2521008403361353</c:v>
                </c:pt>
                <c:pt idx="62">
                  <c:v>5.3571428571428577</c:v>
                </c:pt>
                <c:pt idx="63">
                  <c:v>5.4621848739495809</c:v>
                </c:pt>
                <c:pt idx="64">
                  <c:v>5.5672268907563032</c:v>
                </c:pt>
                <c:pt idx="65">
                  <c:v>5.6722689075630255</c:v>
                </c:pt>
                <c:pt idx="66">
                  <c:v>5.7773109243697487</c:v>
                </c:pt>
                <c:pt idx="67">
                  <c:v>5.882352941176471</c:v>
                </c:pt>
                <c:pt idx="68">
                  <c:v>5.9873949579831942</c:v>
                </c:pt>
                <c:pt idx="69">
                  <c:v>6.0924369747899165</c:v>
                </c:pt>
                <c:pt idx="70">
                  <c:v>6.1974789915966397</c:v>
                </c:pt>
              </c:numCache>
            </c:numRef>
          </c:xVal>
          <c:yVal>
            <c:numRef>
              <c:f>[1]TRH8hP4!$O$12:$O$82</c:f>
              <c:numCache>
                <c:formatCode>General</c:formatCode>
                <c:ptCount val="71"/>
                <c:pt idx="0">
                  <c:v>0.23561136557007631</c:v>
                </c:pt>
                <c:pt idx="1">
                  <c:v>0.23852452754962455</c:v>
                </c:pt>
                <c:pt idx="2">
                  <c:v>0.24142130637115911</c:v>
                </c:pt>
                <c:pt idx="3">
                  <c:v>0.24430023817229746</c:v>
                </c:pt>
                <c:pt idx="4">
                  <c:v>0.2471598531629281</c:v>
                </c:pt>
                <c:pt idx="5">
                  <c:v>0.24999867683788846</c:v>
                </c:pt>
                <c:pt idx="6">
                  <c:v>0.25281523120911442</c:v>
                </c:pt>
                <c:pt idx="7">
                  <c:v>0.25560803605587717</c:v>
                </c:pt>
                <c:pt idx="8">
                  <c:v>0.25837561019167737</c:v>
                </c:pt>
                <c:pt idx="9">
                  <c:v>0.26111647274632588</c:v>
                </c:pt>
                <c:pt idx="10">
                  <c:v>0.26382914446170019</c:v>
                </c:pt>
                <c:pt idx="11">
                  <c:v>0.26651214899962938</c:v>
                </c:pt>
                <c:pt idx="12">
                  <c:v>0.26916401426032333</c:v>
                </c:pt>
                <c:pt idx="13">
                  <c:v>0.27436846771418161</c:v>
                </c:pt>
                <c:pt idx="14">
                  <c:v>0.27943086340084777</c:v>
                </c:pt>
                <c:pt idx="15">
                  <c:v>0.28433971327206375</c:v>
                </c:pt>
                <c:pt idx="16">
                  <c:v>0.28908372571615643</c:v>
                </c:pt>
                <c:pt idx="17">
                  <c:v>0.29365184853604898</c:v>
                </c:pt>
                <c:pt idx="18">
                  <c:v>0.29803331161577623</c:v>
                </c:pt>
                <c:pt idx="19">
                  <c:v>0.30423276764408613</c:v>
                </c:pt>
                <c:pt idx="20">
                  <c:v>0.30995515149710801</c:v>
                </c:pt>
                <c:pt idx="21">
                  <c:v>0.31516894648398602</c:v>
                </c:pt>
                <c:pt idx="22">
                  <c:v>0.31984507804895251</c:v>
                </c:pt>
                <c:pt idx="23">
                  <c:v>0.32395718355846753</c:v>
                </c:pt>
                <c:pt idx="24">
                  <c:v>0.32748185970797927</c:v>
                </c:pt>
                <c:pt idx="25">
                  <c:v>0.33039888430174624</c:v>
                </c:pt>
                <c:pt idx="26">
                  <c:v>0.33269140946622178</c:v>
                </c:pt>
                <c:pt idx="27">
                  <c:v>0.33434612371459721</c:v>
                </c:pt>
                <c:pt idx="28">
                  <c:v>0.33535338068154547</c:v>
                </c:pt>
                <c:pt idx="29">
                  <c:v>0.33570729278635197</c:v>
                </c:pt>
                <c:pt idx="30">
                  <c:v>0.33540578855205361</c:v>
                </c:pt>
                <c:pt idx="31">
                  <c:v>0.33398784760989186</c:v>
                </c:pt>
                <c:pt idx="32">
                  <c:v>0.33142302049789324</c:v>
                </c:pt>
                <c:pt idx="33">
                  <c:v>0.32773782838098303</c:v>
                </c:pt>
                <c:pt idx="34">
                  <c:v>0.3229701364620326</c:v>
                </c:pt>
                <c:pt idx="35">
                  <c:v>0.31716850632106958</c:v>
                </c:pt>
                <c:pt idx="36">
                  <c:v>0.31039137261571775</c:v>
                </c:pt>
                <c:pt idx="37">
                  <c:v>0.30270606365844249</c:v>
                </c:pt>
                <c:pt idx="38">
                  <c:v>0.29418768881741414</c:v>
                </c:pt>
                <c:pt idx="39">
                  <c:v>0.28491791842888803</c:v>
                </c:pt>
                <c:pt idx="40">
                  <c:v>0.269795665324915</c:v>
                </c:pt>
                <c:pt idx="41">
                  <c:v>0.25348772615723342</c:v>
                </c:pt>
                <c:pt idx="42">
                  <c:v>0.2363119405187375</c:v>
                </c:pt>
                <c:pt idx="43">
                  <c:v>0.21858540477272231</c:v>
                </c:pt>
                <c:pt idx="44">
                  <c:v>0.20061500676122451</c:v>
                </c:pt>
                <c:pt idx="45">
                  <c:v>0.18268901585167802</c:v>
                </c:pt>
                <c:pt idx="46">
                  <c:v>0.16507002559496178</c:v>
                </c:pt>
                <c:pt idx="47">
                  <c:v>0.14798945264394348</c:v>
                </c:pt>
                <c:pt idx="48">
                  <c:v>0.11619197749698373</c:v>
                </c:pt>
                <c:pt idx="49">
                  <c:v>8.8419605711138105E-2</c:v>
                </c:pt>
                <c:pt idx="50">
                  <c:v>6.5215083745738339E-2</c:v>
                </c:pt>
                <c:pt idx="51">
                  <c:v>4.6620249161975227E-2</c:v>
                </c:pt>
                <c:pt idx="52">
                  <c:v>3.2301907996254008E-2</c:v>
                </c:pt>
                <c:pt idx="53">
                  <c:v>2.1692460381754604E-2</c:v>
                </c:pt>
                <c:pt idx="54">
                  <c:v>1.4119408445286931E-2</c:v>
                </c:pt>
                <c:pt idx="55">
                  <c:v>8.9074058769923088E-3</c:v>
                </c:pt>
                <c:pt idx="56">
                  <c:v>5.446443889555415E-3</c:v>
                </c:pt>
                <c:pt idx="57">
                  <c:v>3.2277647710326658E-3</c:v>
                </c:pt>
                <c:pt idx="58">
                  <c:v>1.8540343334852135E-3</c:v>
                </c:pt>
                <c:pt idx="59">
                  <c:v>1.0321925469099786E-3</c:v>
                </c:pt>
                <c:pt idx="60">
                  <c:v>7.6118870706518027E-4</c:v>
                </c:pt>
                <c:pt idx="61">
                  <c:v>5.5696860670486291E-4</c:v>
                </c:pt>
                <c:pt idx="62">
                  <c:v>4.0436714381906878E-4</c:v>
                </c:pt>
                <c:pt idx="63">
                  <c:v>2.9129146973267707E-4</c:v>
                </c:pt>
                <c:pt idx="64">
                  <c:v>2.0820273778994781E-4</c:v>
                </c:pt>
                <c:pt idx="65">
                  <c:v>1.4765626142983841E-4</c:v>
                </c:pt>
                <c:pt idx="66">
                  <c:v>1.0390203727981301E-4</c:v>
                </c:pt>
                <c:pt idx="67">
                  <c:v>7.2544254336432478E-5</c:v>
                </c:pt>
                <c:pt idx="68">
                  <c:v>5.0256095214732889E-5</c:v>
                </c:pt>
                <c:pt idx="69">
                  <c:v>3.4544684100607339E-5</c:v>
                </c:pt>
                <c:pt idx="70">
                  <c:v>2.3560281338651568E-5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DB13-4F73-AB2B-73BE3EF07A86}"/>
            </c:ext>
          </c:extLst>
        </c:ser>
        <c:ser>
          <c:idx val="3"/>
          <c:order val="3"/>
          <c:tx>
            <c:v>PD</c:v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[1]TRH8hP4!$L$12:$L$82</c:f>
              <c:numCache>
                <c:formatCode>General</c:formatCode>
                <c:ptCount val="71"/>
                <c:pt idx="0">
                  <c:v>0</c:v>
                </c:pt>
                <c:pt idx="1">
                  <c:v>1.7507002801120452E-2</c:v>
                </c:pt>
                <c:pt idx="2">
                  <c:v>3.5014005602240904E-2</c:v>
                </c:pt>
                <c:pt idx="3">
                  <c:v>5.2521008403361352E-2</c:v>
                </c:pt>
                <c:pt idx="4">
                  <c:v>7.0028011204481808E-2</c:v>
                </c:pt>
                <c:pt idx="5">
                  <c:v>8.7535014005602249E-2</c:v>
                </c:pt>
                <c:pt idx="6">
                  <c:v>0.1050420168067227</c:v>
                </c:pt>
                <c:pt idx="7">
                  <c:v>0.12254901960784315</c:v>
                </c:pt>
                <c:pt idx="8">
                  <c:v>0.14005602240896362</c:v>
                </c:pt>
                <c:pt idx="9">
                  <c:v>0.15756302521008406</c:v>
                </c:pt>
                <c:pt idx="10">
                  <c:v>0.1750700280112045</c:v>
                </c:pt>
                <c:pt idx="11">
                  <c:v>0.19257703081232494</c:v>
                </c:pt>
                <c:pt idx="12">
                  <c:v>0.21008403361344541</c:v>
                </c:pt>
                <c:pt idx="13">
                  <c:v>0.24509803921568629</c:v>
                </c:pt>
                <c:pt idx="14">
                  <c:v>0.28011204481792723</c:v>
                </c:pt>
                <c:pt idx="15">
                  <c:v>0.31512605042016811</c:v>
                </c:pt>
                <c:pt idx="16">
                  <c:v>0.350140056022409</c:v>
                </c:pt>
                <c:pt idx="17">
                  <c:v>0.38515406162464988</c:v>
                </c:pt>
                <c:pt idx="18">
                  <c:v>0.42016806722689082</c:v>
                </c:pt>
                <c:pt idx="19">
                  <c:v>0.47268907563025214</c:v>
                </c:pt>
                <c:pt idx="20">
                  <c:v>0.52521008403361347</c:v>
                </c:pt>
                <c:pt idx="21">
                  <c:v>0.57773109243697485</c:v>
                </c:pt>
                <c:pt idx="22">
                  <c:v>0.63025210084033623</c:v>
                </c:pt>
                <c:pt idx="23">
                  <c:v>0.68277310924369761</c:v>
                </c:pt>
                <c:pt idx="24">
                  <c:v>0.73529411764705888</c:v>
                </c:pt>
                <c:pt idx="25">
                  <c:v>0.78781512605042026</c:v>
                </c:pt>
                <c:pt idx="26">
                  <c:v>0.84033613445378164</c:v>
                </c:pt>
                <c:pt idx="27">
                  <c:v>0.89285714285714302</c:v>
                </c:pt>
                <c:pt idx="28">
                  <c:v>0.94537815126050428</c:v>
                </c:pt>
                <c:pt idx="29">
                  <c:v>0.99789915966386566</c:v>
                </c:pt>
                <c:pt idx="30">
                  <c:v>1.0504201680672269</c:v>
                </c:pt>
                <c:pt idx="31">
                  <c:v>1.1204481792717089</c:v>
                </c:pt>
                <c:pt idx="32">
                  <c:v>1.1904761904761907</c:v>
                </c:pt>
                <c:pt idx="33">
                  <c:v>1.2605042016806725</c:v>
                </c:pt>
                <c:pt idx="34">
                  <c:v>1.3305322128851542</c:v>
                </c:pt>
                <c:pt idx="35">
                  <c:v>1.400560224089636</c:v>
                </c:pt>
                <c:pt idx="36">
                  <c:v>1.4705882352941178</c:v>
                </c:pt>
                <c:pt idx="37">
                  <c:v>1.5406162464985995</c:v>
                </c:pt>
                <c:pt idx="38">
                  <c:v>1.6106442577030815</c:v>
                </c:pt>
                <c:pt idx="39">
                  <c:v>1.6806722689075633</c:v>
                </c:pt>
                <c:pt idx="40">
                  <c:v>1.785714285714286</c:v>
                </c:pt>
                <c:pt idx="41">
                  <c:v>1.8907563025210086</c:v>
                </c:pt>
                <c:pt idx="42">
                  <c:v>1.9957983193277313</c:v>
                </c:pt>
                <c:pt idx="43">
                  <c:v>2.1008403361344539</c:v>
                </c:pt>
                <c:pt idx="44">
                  <c:v>2.2058823529411766</c:v>
                </c:pt>
                <c:pt idx="45">
                  <c:v>2.3109243697478994</c:v>
                </c:pt>
                <c:pt idx="46">
                  <c:v>2.4159663865546221</c:v>
                </c:pt>
                <c:pt idx="47">
                  <c:v>2.5210084033613449</c:v>
                </c:pt>
                <c:pt idx="48">
                  <c:v>2.7310924369747904</c:v>
                </c:pt>
                <c:pt idx="49">
                  <c:v>2.9411764705882355</c:v>
                </c:pt>
                <c:pt idx="50">
                  <c:v>3.151260504201681</c:v>
                </c:pt>
                <c:pt idx="51">
                  <c:v>3.3613445378151265</c:v>
                </c:pt>
                <c:pt idx="52">
                  <c:v>3.5714285714285721</c:v>
                </c:pt>
                <c:pt idx="53">
                  <c:v>3.7815126050420171</c:v>
                </c:pt>
                <c:pt idx="54">
                  <c:v>3.9915966386554627</c:v>
                </c:pt>
                <c:pt idx="55">
                  <c:v>4.2016806722689077</c:v>
                </c:pt>
                <c:pt idx="56">
                  <c:v>4.4117647058823533</c:v>
                </c:pt>
                <c:pt idx="57">
                  <c:v>4.6218487394957988</c:v>
                </c:pt>
                <c:pt idx="58">
                  <c:v>4.8319327731092443</c:v>
                </c:pt>
                <c:pt idx="59">
                  <c:v>5.0420168067226898</c:v>
                </c:pt>
                <c:pt idx="60">
                  <c:v>5.1470588235294121</c:v>
                </c:pt>
                <c:pt idx="61">
                  <c:v>5.2521008403361353</c:v>
                </c:pt>
                <c:pt idx="62">
                  <c:v>5.3571428571428577</c:v>
                </c:pt>
                <c:pt idx="63">
                  <c:v>5.4621848739495809</c:v>
                </c:pt>
                <c:pt idx="64">
                  <c:v>5.5672268907563032</c:v>
                </c:pt>
                <c:pt idx="65">
                  <c:v>5.6722689075630255</c:v>
                </c:pt>
                <c:pt idx="66">
                  <c:v>5.7773109243697487</c:v>
                </c:pt>
                <c:pt idx="67">
                  <c:v>5.882352941176471</c:v>
                </c:pt>
                <c:pt idx="68">
                  <c:v>5.9873949579831942</c:v>
                </c:pt>
                <c:pt idx="69">
                  <c:v>6.0924369747899165</c:v>
                </c:pt>
                <c:pt idx="70">
                  <c:v>6.1974789915966397</c:v>
                </c:pt>
              </c:numCache>
            </c:numRef>
          </c:xVal>
          <c:yVal>
            <c:numRef>
              <c:f>[1]TRH8hP4!$N$12:$N$82</c:f>
              <c:numCache>
                <c:formatCode>General</c:formatCode>
                <c:ptCount val="71"/>
                <c:pt idx="0">
                  <c:v>0.22993949272398209</c:v>
                </c:pt>
                <c:pt idx="1">
                  <c:v>0.23609395251564258</c:v>
                </c:pt>
                <c:pt idx="2">
                  <c:v>0.24230007881313956</c:v>
                </c:pt>
                <c:pt idx="3">
                  <c:v>0.24855336461670088</c:v>
                </c:pt>
                <c:pt idx="4">
                  <c:v>0.25484911870681493</c:v>
                </c:pt>
                <c:pt idx="5">
                  <c:v>0.26118246975394283</c:v>
                </c:pt>
                <c:pt idx="6">
                  <c:v>0.26754837095856898</c:v>
                </c:pt>
                <c:pt idx="7">
                  <c:v>0.27394160522187416</c:v>
                </c:pt>
                <c:pt idx="8">
                  <c:v>0.28035679084557186</c:v>
                </c:pt>
                <c:pt idx="9">
                  <c:v>0.28678838775766086</c:v>
                </c:pt>
                <c:pt idx="10">
                  <c:v>0.29323070425903525</c:v>
                </c:pt>
                <c:pt idx="11">
                  <c:v>0.29967790428405089</c:v>
                </c:pt>
                <c:pt idx="12">
                  <c:v>0.30612401516629179</c:v>
                </c:pt>
                <c:pt idx="13">
                  <c:v>0.31898844587707581</c:v>
                </c:pt>
                <c:pt idx="14">
                  <c:v>0.3317738088731802</c:v>
                </c:pt>
                <c:pt idx="15">
                  <c:v>0.34442830848445904</c:v>
                </c:pt>
                <c:pt idx="16">
                  <c:v>0.35689887022316269</c:v>
                </c:pt>
                <c:pt idx="17">
                  <c:v>0.36913149513108745</c:v>
                </c:pt>
                <c:pt idx="18">
                  <c:v>0.38107163605838318</c:v>
                </c:pt>
                <c:pt idx="19">
                  <c:v>0.39831384091761401</c:v>
                </c:pt>
                <c:pt idx="20">
                  <c:v>0.41459184774509866</c:v>
                </c:pt>
                <c:pt idx="21">
                  <c:v>0.42972706324304288</c:v>
                </c:pt>
                <c:pt idx="22">
                  <c:v>0.44354862745095253</c:v>
                </c:pt>
                <c:pt idx="23">
                  <c:v>0.4558966079373365</c:v>
                </c:pt>
                <c:pt idx="24">
                  <c:v>0.46662507104837003</c:v>
                </c:pt>
                <c:pt idx="25">
                  <c:v>0.475604948019892</c:v>
                </c:pt>
                <c:pt idx="26">
                  <c:v>0.48272661738623918</c:v>
                </c:pt>
                <c:pt idx="27">
                  <c:v>0.4879021315067894</c:v>
                </c:pt>
                <c:pt idx="28">
                  <c:v>0.49106702400654234</c:v>
                </c:pt>
                <c:pt idx="29">
                  <c:v>0.49218164620529831</c:v>
                </c:pt>
                <c:pt idx="30">
                  <c:v>0.49123199380331389</c:v>
                </c:pt>
                <c:pt idx="31">
                  <c:v>0.48677903372938525</c:v>
                </c:pt>
                <c:pt idx="32">
                  <c:v>0.47877940518874118</c:v>
                </c:pt>
                <c:pt idx="33">
                  <c:v>0.46740939149408778</c:v>
                </c:pt>
                <c:pt idx="34">
                  <c:v>0.4529161266136586</c:v>
                </c:pt>
                <c:pt idx="35">
                  <c:v>0.43560866659500563</c:v>
                </c:pt>
                <c:pt idx="36">
                  <c:v>0.41584704098324304</c:v>
                </c:pt>
                <c:pt idx="37">
                  <c:v>0.39402982547538684</c:v>
                </c:pt>
                <c:pt idx="38">
                  <c:v>0.37058083361704058</c:v>
                </c:pt>
                <c:pt idx="39">
                  <c:v>0.34593554511487307</c:v>
                </c:pt>
                <c:pt idx="40">
                  <c:v>0.30767024445886804</c:v>
                </c:pt>
                <c:pt idx="41">
                  <c:v>0.26908045458969326</c:v>
                </c:pt>
                <c:pt idx="42">
                  <c:v>0.23141161684955788</c:v>
                </c:pt>
                <c:pt idx="43">
                  <c:v>0.19570165960314409</c:v>
                </c:pt>
                <c:pt idx="44">
                  <c:v>0.16274595697149188</c:v>
                </c:pt>
                <c:pt idx="45">
                  <c:v>0.13308596440027617</c:v>
                </c:pt>
                <c:pt idx="46">
                  <c:v>0.10701894160573143</c:v>
                </c:pt>
                <c:pt idx="47">
                  <c:v>8.4624359571063554E-2</c:v>
                </c:pt>
                <c:pt idx="48">
                  <c:v>5.031343001992751E-2</c:v>
                </c:pt>
                <c:pt idx="49">
                  <c:v>2.7970346568413573E-2</c:v>
                </c:pt>
                <c:pt idx="50">
                  <c:v>1.4539087864521526E-2</c:v>
                </c:pt>
                <c:pt idx="51">
                  <c:v>7.0664593704074892E-3</c:v>
                </c:pt>
                <c:pt idx="52">
                  <c:v>3.2113819565967681E-3</c:v>
                </c:pt>
                <c:pt idx="53">
                  <c:v>1.3646065487314329E-3</c:v>
                </c:pt>
                <c:pt idx="54">
                  <c:v>5.4218603940183027E-4</c:v>
                </c:pt>
                <c:pt idx="55">
                  <c:v>2.0142557038876273E-4</c:v>
                </c:pt>
                <c:pt idx="56">
                  <c:v>6.996909633523091E-5</c:v>
                </c:pt>
                <c:pt idx="57">
                  <c:v>2.2726016586011324E-5</c:v>
                </c:pt>
                <c:pt idx="58">
                  <c:v>6.901853953745384E-6</c:v>
                </c:pt>
                <c:pt idx="59">
                  <c:v>1.9598985997136547E-6</c:v>
                </c:pt>
                <c:pt idx="60">
                  <c:v>1.0184202899409571E-6</c:v>
                </c:pt>
                <c:pt idx="61">
                  <c:v>5.2038747072615795E-7</c:v>
                </c:pt>
                <c:pt idx="62">
                  <c:v>2.614766835257593E-7</c:v>
                </c:pt>
                <c:pt idx="63">
                  <c:v>1.2919492438597767E-7</c:v>
                </c:pt>
                <c:pt idx="64">
                  <c:v>6.2771756901719634E-8</c:v>
                </c:pt>
                <c:pt idx="65">
                  <c:v>2.9990897610149712E-8</c:v>
                </c:pt>
                <c:pt idx="66">
                  <c:v>1.4090324401476612E-8</c:v>
                </c:pt>
                <c:pt idx="67">
                  <c:v>6.5096684206794237E-9</c:v>
                </c:pt>
                <c:pt idx="68">
                  <c:v>2.9573524879670122E-9</c:v>
                </c:pt>
                <c:pt idx="69">
                  <c:v>1.3211546657280187E-9</c:v>
                </c:pt>
                <c:pt idx="70">
                  <c:v>5.8037751978557807E-10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DB13-4F73-AB2B-73BE3EF07A86}"/>
            </c:ext>
          </c:extLst>
        </c:ser>
        <c:ser>
          <c:idx val="4"/>
          <c:order val="4"/>
          <c:tx>
            <c:v>RA</c:v>
          </c:tx>
          <c:spPr>
            <a:ln w="12700">
              <a:solidFill>
                <a:srgbClr val="0000CC"/>
              </a:solidFill>
            </a:ln>
          </c:spPr>
          <c:marker>
            <c:symbol val="star"/>
            <c:size val="3"/>
            <c:spPr>
              <a:ln>
                <a:solidFill>
                  <a:srgbClr val="0000CC"/>
                </a:solidFill>
              </a:ln>
            </c:spPr>
          </c:marker>
          <c:xVal>
            <c:numRef>
              <c:f>[1]TRH8hP4!$L$12:$L$82</c:f>
              <c:numCache>
                <c:formatCode>General</c:formatCode>
                <c:ptCount val="71"/>
                <c:pt idx="0">
                  <c:v>0</c:v>
                </c:pt>
                <c:pt idx="1">
                  <c:v>1.7507002801120452E-2</c:v>
                </c:pt>
                <c:pt idx="2">
                  <c:v>3.5014005602240904E-2</c:v>
                </c:pt>
                <c:pt idx="3">
                  <c:v>5.2521008403361352E-2</c:v>
                </c:pt>
                <c:pt idx="4">
                  <c:v>7.0028011204481808E-2</c:v>
                </c:pt>
                <c:pt idx="5">
                  <c:v>8.7535014005602249E-2</c:v>
                </c:pt>
                <c:pt idx="6">
                  <c:v>0.1050420168067227</c:v>
                </c:pt>
                <c:pt idx="7">
                  <c:v>0.12254901960784315</c:v>
                </c:pt>
                <c:pt idx="8">
                  <c:v>0.14005602240896362</c:v>
                </c:pt>
                <c:pt idx="9">
                  <c:v>0.15756302521008406</c:v>
                </c:pt>
                <c:pt idx="10">
                  <c:v>0.1750700280112045</c:v>
                </c:pt>
                <c:pt idx="11">
                  <c:v>0.19257703081232494</c:v>
                </c:pt>
                <c:pt idx="12">
                  <c:v>0.21008403361344541</c:v>
                </c:pt>
                <c:pt idx="13">
                  <c:v>0.24509803921568629</c:v>
                </c:pt>
                <c:pt idx="14">
                  <c:v>0.28011204481792723</c:v>
                </c:pt>
                <c:pt idx="15">
                  <c:v>0.31512605042016811</c:v>
                </c:pt>
                <c:pt idx="16">
                  <c:v>0.350140056022409</c:v>
                </c:pt>
                <c:pt idx="17">
                  <c:v>0.38515406162464988</c:v>
                </c:pt>
                <c:pt idx="18">
                  <c:v>0.42016806722689082</c:v>
                </c:pt>
                <c:pt idx="19">
                  <c:v>0.47268907563025214</c:v>
                </c:pt>
                <c:pt idx="20">
                  <c:v>0.52521008403361347</c:v>
                </c:pt>
                <c:pt idx="21">
                  <c:v>0.57773109243697485</c:v>
                </c:pt>
                <c:pt idx="22">
                  <c:v>0.63025210084033623</c:v>
                </c:pt>
                <c:pt idx="23">
                  <c:v>0.68277310924369761</c:v>
                </c:pt>
                <c:pt idx="24">
                  <c:v>0.73529411764705888</c:v>
                </c:pt>
                <c:pt idx="25">
                  <c:v>0.78781512605042026</c:v>
                </c:pt>
                <c:pt idx="26">
                  <c:v>0.84033613445378164</c:v>
                </c:pt>
                <c:pt idx="27">
                  <c:v>0.89285714285714302</c:v>
                </c:pt>
                <c:pt idx="28">
                  <c:v>0.94537815126050428</c:v>
                </c:pt>
                <c:pt idx="29">
                  <c:v>0.99789915966386566</c:v>
                </c:pt>
                <c:pt idx="30">
                  <c:v>1.0504201680672269</c:v>
                </c:pt>
                <c:pt idx="31">
                  <c:v>1.1204481792717089</c:v>
                </c:pt>
                <c:pt idx="32">
                  <c:v>1.1904761904761907</c:v>
                </c:pt>
                <c:pt idx="33">
                  <c:v>1.2605042016806725</c:v>
                </c:pt>
                <c:pt idx="34">
                  <c:v>1.3305322128851542</c:v>
                </c:pt>
                <c:pt idx="35">
                  <c:v>1.400560224089636</c:v>
                </c:pt>
                <c:pt idx="36">
                  <c:v>1.4705882352941178</c:v>
                </c:pt>
                <c:pt idx="37">
                  <c:v>1.5406162464985995</c:v>
                </c:pt>
                <c:pt idx="38">
                  <c:v>1.6106442577030815</c:v>
                </c:pt>
                <c:pt idx="39">
                  <c:v>1.6806722689075633</c:v>
                </c:pt>
                <c:pt idx="40">
                  <c:v>1.785714285714286</c:v>
                </c:pt>
                <c:pt idx="41">
                  <c:v>1.8907563025210086</c:v>
                </c:pt>
                <c:pt idx="42">
                  <c:v>1.9957983193277313</c:v>
                </c:pt>
                <c:pt idx="43">
                  <c:v>2.1008403361344539</c:v>
                </c:pt>
                <c:pt idx="44">
                  <c:v>2.2058823529411766</c:v>
                </c:pt>
                <c:pt idx="45">
                  <c:v>2.3109243697478994</c:v>
                </c:pt>
                <c:pt idx="46">
                  <c:v>2.4159663865546221</c:v>
                </c:pt>
                <c:pt idx="47">
                  <c:v>2.5210084033613449</c:v>
                </c:pt>
                <c:pt idx="48">
                  <c:v>2.7310924369747904</c:v>
                </c:pt>
                <c:pt idx="49">
                  <c:v>2.9411764705882355</c:v>
                </c:pt>
                <c:pt idx="50">
                  <c:v>3.151260504201681</c:v>
                </c:pt>
                <c:pt idx="51">
                  <c:v>3.3613445378151265</c:v>
                </c:pt>
                <c:pt idx="52">
                  <c:v>3.5714285714285721</c:v>
                </c:pt>
                <c:pt idx="53">
                  <c:v>3.7815126050420171</c:v>
                </c:pt>
                <c:pt idx="54">
                  <c:v>3.9915966386554627</c:v>
                </c:pt>
                <c:pt idx="55">
                  <c:v>4.2016806722689077</c:v>
                </c:pt>
                <c:pt idx="56">
                  <c:v>4.4117647058823533</c:v>
                </c:pt>
                <c:pt idx="57">
                  <c:v>4.6218487394957988</c:v>
                </c:pt>
                <c:pt idx="58">
                  <c:v>4.8319327731092443</c:v>
                </c:pt>
                <c:pt idx="59">
                  <c:v>5.0420168067226898</c:v>
                </c:pt>
                <c:pt idx="60">
                  <c:v>5.1470588235294121</c:v>
                </c:pt>
                <c:pt idx="61">
                  <c:v>5.2521008403361353</c:v>
                </c:pt>
                <c:pt idx="62">
                  <c:v>5.3571428571428577</c:v>
                </c:pt>
                <c:pt idx="63">
                  <c:v>5.4621848739495809</c:v>
                </c:pt>
                <c:pt idx="64">
                  <c:v>5.5672268907563032</c:v>
                </c:pt>
                <c:pt idx="65">
                  <c:v>5.6722689075630255</c:v>
                </c:pt>
                <c:pt idx="66">
                  <c:v>5.7773109243697487</c:v>
                </c:pt>
                <c:pt idx="67">
                  <c:v>5.882352941176471</c:v>
                </c:pt>
                <c:pt idx="68">
                  <c:v>5.9873949579831942</c:v>
                </c:pt>
                <c:pt idx="69">
                  <c:v>6.0924369747899165</c:v>
                </c:pt>
                <c:pt idx="70">
                  <c:v>6.1974789915966397</c:v>
                </c:pt>
              </c:numCache>
            </c:numRef>
          </c:xVal>
          <c:yVal>
            <c:numRef>
              <c:f>[1]TRH8hP4!$P$13:$P$82</c:f>
              <c:numCache>
                <c:formatCode>General</c:formatCode>
                <c:ptCount val="70"/>
                <c:pt idx="0">
                  <c:v>6.043724453004786E-32</c:v>
                </c:pt>
                <c:pt idx="1">
                  <c:v>1.4118085568974917E-15</c:v>
                </c:pt>
                <c:pt idx="2">
                  <c:v>3.6416994861441321E-10</c:v>
                </c:pt>
                <c:pt idx="3">
                  <c:v>1.7520867458404608E-7</c:v>
                </c:pt>
                <c:pt idx="4">
                  <c:v>6.8846242583697797E-6</c:v>
                </c:pt>
                <c:pt idx="5">
                  <c:v>7.7642346725293089E-5</c:v>
                </c:pt>
                <c:pt idx="6">
                  <c:v>4.3012426434245915E-4</c:v>
                </c:pt>
                <c:pt idx="7">
                  <c:v>1.5303523517914044E-3</c:v>
                </c:pt>
                <c:pt idx="8">
                  <c:v>4.0571882688904591E-3</c:v>
                </c:pt>
                <c:pt idx="9">
                  <c:v>8.7604813136705553E-3</c:v>
                </c:pt>
                <c:pt idx="10">
                  <c:v>1.6301548495066105E-2</c:v>
                </c:pt>
                <c:pt idx="11">
                  <c:v>2.7142108216909631E-2</c:v>
                </c:pt>
                <c:pt idx="12">
                  <c:v>5.9354854042664613E-2</c:v>
                </c:pt>
                <c:pt idx="13">
                  <c:v>0.10455834903601208</c:v>
                </c:pt>
                <c:pt idx="14">
                  <c:v>0.15962068337137703</c:v>
                </c:pt>
                <c:pt idx="15">
                  <c:v>0.22059868168551555</c:v>
                </c:pt>
                <c:pt idx="16">
                  <c:v>0.28373107539493797</c:v>
                </c:pt>
                <c:pt idx="17">
                  <c:v>0.3459145572229263</c:v>
                </c:pt>
                <c:pt idx="18">
                  <c:v>0.43255705766192187</c:v>
                </c:pt>
                <c:pt idx="19">
                  <c:v>0.50723125151647575</c:v>
                </c:pt>
                <c:pt idx="20">
                  <c:v>0.56792314517675946</c:v>
                </c:pt>
                <c:pt idx="21">
                  <c:v>0.61443948459046094</c:v>
                </c:pt>
                <c:pt idx="22">
                  <c:v>0.64764758969458003</c:v>
                </c:pt>
                <c:pt idx="23">
                  <c:v>0.66895370833144474</c:v>
                </c:pt>
                <c:pt idx="24">
                  <c:v>0.67997238905424962</c:v>
                </c:pt>
                <c:pt idx="25">
                  <c:v>0.68233015752008253</c:v>
                </c:pt>
                <c:pt idx="26">
                  <c:v>0.6775573719276361</c:v>
                </c:pt>
                <c:pt idx="27">
                  <c:v>0.6670353752429149</c:v>
                </c:pt>
                <c:pt idx="28">
                  <c:v>0.65197696961898022</c:v>
                </c:pt>
                <c:pt idx="29">
                  <c:v>0.63342608434252401</c:v>
                </c:pt>
                <c:pt idx="30">
                  <c:v>0.6047675615836805</c:v>
                </c:pt>
                <c:pt idx="31">
                  <c:v>0.57316501163901568</c:v>
                </c:pt>
                <c:pt idx="32">
                  <c:v>0.53994246686367031</c:v>
                </c:pt>
                <c:pt idx="33">
                  <c:v>0.50610841659783279</c:v>
                </c:pt>
                <c:pt idx="34">
                  <c:v>0.47241692214934539</c:v>
                </c:pt>
                <c:pt idx="35">
                  <c:v>0.43941973885823854</c:v>
                </c:pt>
                <c:pt idx="36">
                  <c:v>0.40750952885465852</c:v>
                </c:pt>
                <c:pt idx="37">
                  <c:v>0.37695504075513403</c:v>
                </c:pt>
                <c:pt idx="38">
                  <c:v>0.34792939618889052</c:v>
                </c:pt>
                <c:pt idx="39">
                  <c:v>0.30746082757503845</c:v>
                </c:pt>
                <c:pt idx="40">
                  <c:v>0.27076370042327969</c:v>
                </c:pt>
                <c:pt idx="41">
                  <c:v>0.23777544875103468</c:v>
                </c:pt>
                <c:pt idx="42">
                  <c:v>0.20832188881026997</c:v>
                </c:pt>
                <c:pt idx="43">
                  <c:v>0.18216522235132249</c:v>
                </c:pt>
                <c:pt idx="44">
                  <c:v>0.15903635421831963</c:v>
                </c:pt>
                <c:pt idx="45">
                  <c:v>0.13865624868909218</c:v>
                </c:pt>
                <c:pt idx="46">
                  <c:v>0.12074967219214133</c:v>
                </c:pt>
                <c:pt idx="47">
                  <c:v>9.1322533722130311E-2</c:v>
                </c:pt>
                <c:pt idx="48">
                  <c:v>6.8870921921384692E-2</c:v>
                </c:pt>
                <c:pt idx="49">
                  <c:v>5.1830615166489478E-2</c:v>
                </c:pt>
                <c:pt idx="50">
                  <c:v>3.8946127980955793E-2</c:v>
                </c:pt>
                <c:pt idx="51">
                  <c:v>2.9230866142067775E-2</c:v>
                </c:pt>
                <c:pt idx="52">
                  <c:v>2.1920295816511035E-2</c:v>
                </c:pt>
                <c:pt idx="53">
                  <c:v>1.6427622685865124E-2</c:v>
                </c:pt>
                <c:pt idx="54">
                  <c:v>1.2305517032731394E-2</c:v>
                </c:pt>
                <c:pt idx="55">
                  <c:v>9.2146346568320464E-3</c:v>
                </c:pt>
                <c:pt idx="56">
                  <c:v>6.8984741924974155E-3</c:v>
                </c:pt>
                <c:pt idx="57">
                  <c:v>5.1636710820508651E-3</c:v>
                </c:pt>
                <c:pt idx="58">
                  <c:v>3.8647488283722027E-3</c:v>
                </c:pt>
                <c:pt idx="59">
                  <c:v>3.3434380474152785E-3</c:v>
                </c:pt>
                <c:pt idx="60">
                  <c:v>2.8924245771173042E-3</c:v>
                </c:pt>
                <c:pt idx="61">
                  <c:v>2.5022430496383966E-3</c:v>
                </c:pt>
                <c:pt idx="62">
                  <c:v>2.1646981179587669E-3</c:v>
                </c:pt>
                <c:pt idx="63">
                  <c:v>1.8726952527816593E-3</c:v>
                </c:pt>
                <c:pt idx="64">
                  <c:v>1.6200937783606355E-3</c:v>
                </c:pt>
                <c:pt idx="65">
                  <c:v>1.4015792994555238E-3</c:v>
                </c:pt>
                <c:pt idx="66">
                  <c:v>1.2125530176227014E-3</c:v>
                </c:pt>
                <c:pt idx="67">
                  <c:v>1.0490357437770036E-3</c:v>
                </c:pt>
                <c:pt idx="68">
                  <c:v>9.0758468814685126E-4</c:v>
                </c:pt>
                <c:pt idx="69">
                  <c:v>7.8522135130220511E-4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DB13-4F73-AB2B-73BE3EF07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27888272"/>
        <c:axId val="-1827892080"/>
      </c:scatterChart>
      <c:valAx>
        <c:axId val="-1827888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CO" b="1" i="0" baseline="0"/>
                </a:pPr>
                <a:r>
                  <a:rPr lang="el-GR" b="1" i="0" baseline="0"/>
                  <a:t>θ =(</a:t>
                </a:r>
                <a:r>
                  <a:rPr lang="es-CO" b="1" i="0" baseline="0"/>
                  <a:t>t/TRHt)</a:t>
                </a:r>
              </a:p>
            </c:rich>
          </c:tx>
          <c:layout>
            <c:manualLayout>
              <c:xMode val="edge"/>
              <c:yMode val="edge"/>
              <c:x val="0.37836401244547463"/>
              <c:y val="0.934307780492932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MX"/>
          </a:p>
        </c:txPr>
        <c:crossAx val="-1827892080"/>
        <c:crosses val="autoZero"/>
        <c:crossBetween val="midCat"/>
      </c:valAx>
      <c:valAx>
        <c:axId val="-182789208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CO" b="1" i="0" baseline="0"/>
                </a:pPr>
                <a:r>
                  <a:rPr lang="es-CO" b="1" i="0" baseline="0"/>
                  <a:t>E(</a:t>
                </a:r>
                <a:r>
                  <a:rPr lang="el-GR" b="1" i="0" baseline="0"/>
                  <a:t>θ)</a:t>
                </a:r>
              </a:p>
            </c:rich>
          </c:tx>
          <c:layout>
            <c:manualLayout>
              <c:xMode val="edge"/>
              <c:yMode val="edge"/>
              <c:x val="2.888095113938572E-2"/>
              <c:y val="0.367696322442453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/>
            </a:pPr>
            <a:endParaRPr lang="es-MX"/>
          </a:p>
        </c:txPr>
        <c:crossAx val="-182788827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1853668457005789"/>
          <c:y val="0.83597882161283221"/>
          <c:w val="0.77148667674820004"/>
          <c:h val="5.8946812682897365E-2"/>
        </c:manualLayout>
      </c:layout>
      <c:overlay val="0"/>
      <c:txPr>
        <a:bodyPr/>
        <a:lstStyle/>
        <a:p>
          <a:pPr>
            <a:defRPr lang="es-CO"/>
          </a:pPr>
          <a:endParaRPr lang="es-MX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ahoma" pitchFamily="34" charset="0"/>
          <a:ea typeface="Arial"/>
          <a:cs typeface="Arial"/>
        </a:defRPr>
      </a:pPr>
      <a:endParaRPr lang="es-MX"/>
    </a:p>
  </c:txPr>
  <c:printSettings>
    <c:headerFooter alignWithMargins="0"/>
    <c:pageMargins b="1" l="0.75000000000001465" r="0.75000000000001465" t="1" header="0" footer="0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CO"/>
            </a:pPr>
            <a:r>
              <a:rPr lang="es-MX"/>
              <a:t>TRH 8 h. Punto 4</a:t>
            </a:r>
          </a:p>
        </c:rich>
      </c:tx>
      <c:layout>
        <c:manualLayout>
          <c:xMode val="edge"/>
          <c:yMode val="edge"/>
          <c:x val="0.31227425214232335"/>
          <c:y val="3.38027574139444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451606737435244"/>
          <c:y val="0.13000707756175023"/>
          <c:w val="0.77272000857796863"/>
          <c:h val="0.61817756793049972"/>
        </c:manualLayout>
      </c:layout>
      <c:scatterChart>
        <c:scatterStyle val="lineMarker"/>
        <c:varyColors val="0"/>
        <c:ser>
          <c:idx val="4"/>
          <c:order val="0"/>
          <c:tx>
            <c:v>1-F</c:v>
          </c:tx>
          <c:spPr>
            <a:ln w="12700">
              <a:solidFill>
                <a:srgbClr val="0000CC"/>
              </a:solidFill>
            </a:ln>
          </c:spPr>
          <c:marker>
            <c:symbol val="star"/>
            <c:size val="3"/>
            <c:spPr>
              <a:ln>
                <a:solidFill>
                  <a:srgbClr val="0000CC"/>
                </a:solidFill>
              </a:ln>
            </c:spPr>
          </c:marker>
          <c:xVal>
            <c:numRef>
              <c:f>[1]TRH8hP4!$D$12:$D$82</c:f>
              <c:numCache>
                <c:formatCode>General</c:formatCode>
                <c:ptCount val="7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70</c:v>
                </c:pt>
                <c:pt idx="14">
                  <c:v>80</c:v>
                </c:pt>
                <c:pt idx="15">
                  <c:v>90</c:v>
                </c:pt>
                <c:pt idx="16">
                  <c:v>100</c:v>
                </c:pt>
                <c:pt idx="17">
                  <c:v>110</c:v>
                </c:pt>
                <c:pt idx="18">
                  <c:v>120</c:v>
                </c:pt>
                <c:pt idx="19">
                  <c:v>135</c:v>
                </c:pt>
                <c:pt idx="20">
                  <c:v>150</c:v>
                </c:pt>
                <c:pt idx="21">
                  <c:v>165</c:v>
                </c:pt>
                <c:pt idx="22">
                  <c:v>180</c:v>
                </c:pt>
                <c:pt idx="23">
                  <c:v>195</c:v>
                </c:pt>
                <c:pt idx="24">
                  <c:v>210</c:v>
                </c:pt>
                <c:pt idx="25">
                  <c:v>225</c:v>
                </c:pt>
                <c:pt idx="26">
                  <c:v>240</c:v>
                </c:pt>
                <c:pt idx="27">
                  <c:v>255</c:v>
                </c:pt>
                <c:pt idx="28">
                  <c:v>270</c:v>
                </c:pt>
                <c:pt idx="29">
                  <c:v>285</c:v>
                </c:pt>
                <c:pt idx="30">
                  <c:v>300</c:v>
                </c:pt>
                <c:pt idx="31">
                  <c:v>320</c:v>
                </c:pt>
                <c:pt idx="32">
                  <c:v>340</c:v>
                </c:pt>
                <c:pt idx="33">
                  <c:v>360</c:v>
                </c:pt>
                <c:pt idx="34">
                  <c:v>380</c:v>
                </c:pt>
                <c:pt idx="35">
                  <c:v>400</c:v>
                </c:pt>
                <c:pt idx="36">
                  <c:v>420</c:v>
                </c:pt>
                <c:pt idx="37">
                  <c:v>440</c:v>
                </c:pt>
                <c:pt idx="38">
                  <c:v>460</c:v>
                </c:pt>
                <c:pt idx="39">
                  <c:v>480</c:v>
                </c:pt>
                <c:pt idx="40">
                  <c:v>510</c:v>
                </c:pt>
                <c:pt idx="41">
                  <c:v>540</c:v>
                </c:pt>
                <c:pt idx="42">
                  <c:v>570</c:v>
                </c:pt>
                <c:pt idx="43">
                  <c:v>600</c:v>
                </c:pt>
                <c:pt idx="44">
                  <c:v>630</c:v>
                </c:pt>
                <c:pt idx="45">
                  <c:v>660</c:v>
                </c:pt>
                <c:pt idx="46">
                  <c:v>690</c:v>
                </c:pt>
                <c:pt idx="47">
                  <c:v>720</c:v>
                </c:pt>
                <c:pt idx="48">
                  <c:v>780</c:v>
                </c:pt>
                <c:pt idx="49">
                  <c:v>840</c:v>
                </c:pt>
                <c:pt idx="50">
                  <c:v>900</c:v>
                </c:pt>
                <c:pt idx="51">
                  <c:v>960</c:v>
                </c:pt>
                <c:pt idx="52">
                  <c:v>1020</c:v>
                </c:pt>
                <c:pt idx="53">
                  <c:v>1080</c:v>
                </c:pt>
                <c:pt idx="54">
                  <c:v>1140</c:v>
                </c:pt>
                <c:pt idx="55">
                  <c:v>1200</c:v>
                </c:pt>
                <c:pt idx="56">
                  <c:v>1260</c:v>
                </c:pt>
                <c:pt idx="57">
                  <c:v>1320</c:v>
                </c:pt>
                <c:pt idx="58">
                  <c:v>1380</c:v>
                </c:pt>
                <c:pt idx="59">
                  <c:v>1440</c:v>
                </c:pt>
                <c:pt idx="60">
                  <c:v>1470</c:v>
                </c:pt>
                <c:pt idx="61">
                  <c:v>1500</c:v>
                </c:pt>
                <c:pt idx="62">
                  <c:v>1530</c:v>
                </c:pt>
                <c:pt idx="63">
                  <c:v>1560</c:v>
                </c:pt>
                <c:pt idx="64">
                  <c:v>1590</c:v>
                </c:pt>
                <c:pt idx="65">
                  <c:v>1620</c:v>
                </c:pt>
                <c:pt idx="66">
                  <c:v>1650</c:v>
                </c:pt>
                <c:pt idx="67">
                  <c:v>1680</c:v>
                </c:pt>
                <c:pt idx="68">
                  <c:v>1710</c:v>
                </c:pt>
                <c:pt idx="69">
                  <c:v>1740</c:v>
                </c:pt>
                <c:pt idx="70">
                  <c:v>1770</c:v>
                </c:pt>
              </c:numCache>
            </c:numRef>
          </c:xVal>
          <c:yVal>
            <c:numRef>
              <c:f>[1]TRH8hP4!$AA$12:$AA$82</c:f>
              <c:numCache>
                <c:formatCode>General</c:formatCode>
                <c:ptCount val="71"/>
                <c:pt idx="0">
                  <c:v>1</c:v>
                </c:pt>
                <c:pt idx="1">
                  <c:v>1</c:v>
                </c:pt>
                <c:pt idx="2">
                  <c:v>0.99959975025724501</c:v>
                </c:pt>
                <c:pt idx="3">
                  <c:v>0.99591060460928982</c:v>
                </c:pt>
                <c:pt idx="4">
                  <c:v>0.98982145384132381</c:v>
                </c:pt>
                <c:pt idx="5">
                  <c:v>0.979910072697044</c:v>
                </c:pt>
                <c:pt idx="6">
                  <c:v>0.979905628243118</c:v>
                </c:pt>
                <c:pt idx="7">
                  <c:v>0.96861646638179499</c:v>
                </c:pt>
                <c:pt idx="8">
                  <c:v>0.95750508267750967</c:v>
                </c:pt>
                <c:pt idx="9">
                  <c:v>0.94590480904137042</c:v>
                </c:pt>
                <c:pt idx="10">
                  <c:v>0.93426009086597162</c:v>
                </c:pt>
                <c:pt idx="11">
                  <c:v>0.92243759453353502</c:v>
                </c:pt>
                <c:pt idx="12">
                  <c:v>0.90985954103368749</c:v>
                </c:pt>
                <c:pt idx="13">
                  <c:v>0.88212565075694382</c:v>
                </c:pt>
                <c:pt idx="14">
                  <c:v>0.85528065126538944</c:v>
                </c:pt>
                <c:pt idx="15">
                  <c:v>0.82914676440198631</c:v>
                </c:pt>
                <c:pt idx="16">
                  <c:v>0.80256843214598861</c:v>
                </c:pt>
                <c:pt idx="17">
                  <c:v>0.77687899067518007</c:v>
                </c:pt>
                <c:pt idx="18">
                  <c:v>0.75101177104733385</c:v>
                </c:pt>
                <c:pt idx="19">
                  <c:v>0.71567761566780241</c:v>
                </c:pt>
                <c:pt idx="20">
                  <c:v>0.68301013264383859</c:v>
                </c:pt>
                <c:pt idx="21">
                  <c:v>0.65074265047320989</c:v>
                </c:pt>
                <c:pt idx="22">
                  <c:v>0.61940850362703004</c:v>
                </c:pt>
                <c:pt idx="23">
                  <c:v>0.59127436360753127</c:v>
                </c:pt>
                <c:pt idx="24">
                  <c:v>0.5636735580591461</c:v>
                </c:pt>
                <c:pt idx="25">
                  <c:v>0.53633941974631782</c:v>
                </c:pt>
                <c:pt idx="26">
                  <c:v>0.50953861590460292</c:v>
                </c:pt>
                <c:pt idx="27">
                  <c:v>0.48313781291622326</c:v>
                </c:pt>
                <c:pt idx="28">
                  <c:v>0.46047035122563829</c:v>
                </c:pt>
                <c:pt idx="29">
                  <c:v>0.43700288782838304</c:v>
                </c:pt>
                <c:pt idx="30">
                  <c:v>0.41206875463556547</c:v>
                </c:pt>
                <c:pt idx="31">
                  <c:v>0.38220102869552786</c:v>
                </c:pt>
                <c:pt idx="32">
                  <c:v>0.35286663722660383</c:v>
                </c:pt>
                <c:pt idx="33">
                  <c:v>0.32655447442732322</c:v>
                </c:pt>
                <c:pt idx="34">
                  <c:v>0.30468676555398877</c:v>
                </c:pt>
                <c:pt idx="35">
                  <c:v>0.28050794063916229</c:v>
                </c:pt>
                <c:pt idx="36">
                  <c:v>0.2600624570221306</c:v>
                </c:pt>
                <c:pt idx="37">
                  <c:v>0.24352809285993127</c:v>
                </c:pt>
                <c:pt idx="38">
                  <c:v>0.22823817579699723</c:v>
                </c:pt>
                <c:pt idx="39">
                  <c:v>0.21419270583332806</c:v>
                </c:pt>
                <c:pt idx="40">
                  <c:v>0.19445783706560804</c:v>
                </c:pt>
                <c:pt idx="41">
                  <c:v>0.17552297000455819</c:v>
                </c:pt>
                <c:pt idx="42">
                  <c:v>0.16005477700574655</c:v>
                </c:pt>
                <c:pt idx="43">
                  <c:v>0.14618658742027568</c:v>
                </c:pt>
                <c:pt idx="44">
                  <c:v>0.13258506507036127</c:v>
                </c:pt>
                <c:pt idx="45">
                  <c:v>0.11658353760043594</c:v>
                </c:pt>
                <c:pt idx="46">
                  <c:v>0.10164867907273778</c:v>
                </c:pt>
                <c:pt idx="47">
                  <c:v>8.6447153309482716E-2</c:v>
                </c:pt>
                <c:pt idx="48">
                  <c:v>6.7244125676357069E-2</c:v>
                </c:pt>
                <c:pt idx="49">
                  <c:v>5.1241104869912513E-2</c:v>
                </c:pt>
                <c:pt idx="50">
                  <c:v>3.843809089014949E-2</c:v>
                </c:pt>
                <c:pt idx="51">
                  <c:v>2.8301749265954079E-2</c:v>
                </c:pt>
                <c:pt idx="52">
                  <c:v>2.1898748939553347E-2</c:v>
                </c:pt>
                <c:pt idx="53">
                  <c:v>1.6029083084266094E-2</c:v>
                </c:pt>
                <c:pt idx="54">
                  <c:v>1.122608617120624E-2</c:v>
                </c:pt>
                <c:pt idx="55">
                  <c:v>8.023092671486709E-3</c:v>
                </c:pt>
                <c:pt idx="56">
                  <c:v>5.8867681139942452E-3</c:v>
                </c:pt>
                <c:pt idx="57">
                  <c:v>3.7504435565017813E-3</c:v>
                </c:pt>
                <c:pt idx="58">
                  <c:v>2.1474534701230175E-3</c:v>
                </c:pt>
                <c:pt idx="59">
                  <c:v>1.0777978548575096E-3</c:v>
                </c:pt>
                <c:pt idx="60">
                  <c:v>8.0963728278160563E-4</c:v>
                </c:pt>
                <c:pt idx="61">
                  <c:v>5.4147671070570169E-4</c:v>
                </c:pt>
                <c:pt idx="62">
                  <c:v>2.7331613862979776E-4</c:v>
                </c:pt>
                <c:pt idx="63">
                  <c:v>5.1555665536717754E-6</c:v>
                </c:pt>
                <c:pt idx="64">
                  <c:v>3.6622300346733638E-6</c:v>
                </c:pt>
                <c:pt idx="65">
                  <c:v>2.1688935154529076E-6</c:v>
                </c:pt>
                <c:pt idx="66">
                  <c:v>2.1688935154529076E-6</c:v>
                </c:pt>
                <c:pt idx="67">
                  <c:v>2.1688935154529076E-6</c:v>
                </c:pt>
                <c:pt idx="68">
                  <c:v>2.1688935154529076E-6</c:v>
                </c:pt>
                <c:pt idx="69">
                  <c:v>2.1688935154529076E-6</c:v>
                </c:pt>
                <c:pt idx="70">
                  <c:v>2.1688935154529076E-6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CE9-4C6C-BD60-5003A1133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27885552"/>
        <c:axId val="-1827892624"/>
      </c:scatterChart>
      <c:valAx>
        <c:axId val="-1827885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CO" b="1" i="0" baseline="0"/>
                </a:pPr>
                <a:r>
                  <a:rPr lang="es-CO" b="1" i="0" baseline="0"/>
                  <a:t>t (min)</a:t>
                </a:r>
              </a:p>
            </c:rich>
          </c:tx>
          <c:layout>
            <c:manualLayout>
              <c:xMode val="edge"/>
              <c:yMode val="edge"/>
              <c:x val="0.37836401244547485"/>
              <c:y val="0.934307780492932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MX"/>
          </a:p>
        </c:txPr>
        <c:crossAx val="-1827892624"/>
        <c:crosses val="autoZero"/>
        <c:crossBetween val="midCat"/>
      </c:valAx>
      <c:valAx>
        <c:axId val="-1827892624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CO" b="1" i="0" baseline="0"/>
                </a:pPr>
                <a:r>
                  <a:rPr lang="es-CO" b="1" i="0" baseline="0"/>
                  <a:t>1-F</a:t>
                </a:r>
                <a:endParaRPr lang="el-GR" b="1" i="0" baseline="0"/>
              </a:p>
            </c:rich>
          </c:tx>
          <c:layout>
            <c:manualLayout>
              <c:xMode val="edge"/>
              <c:yMode val="edge"/>
              <c:x val="2.888095113938572E-2"/>
              <c:y val="0.367696322442453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/>
            </a:pPr>
            <a:endParaRPr lang="es-MX"/>
          </a:p>
        </c:txPr>
        <c:crossAx val="-182788555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853668457005789"/>
          <c:y val="0.83597882161283243"/>
          <c:w val="0.77148667674820004"/>
          <c:h val="5.8946812682897365E-2"/>
        </c:manualLayout>
      </c:layout>
      <c:overlay val="0"/>
      <c:txPr>
        <a:bodyPr/>
        <a:lstStyle/>
        <a:p>
          <a:pPr>
            <a:defRPr lang="es-CO"/>
          </a:pPr>
          <a:endParaRPr lang="es-MX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ahoma" pitchFamily="34" charset="0"/>
          <a:ea typeface="Arial"/>
          <a:cs typeface="Arial"/>
        </a:defRPr>
      </a:pPr>
      <a:endParaRPr lang="es-MX"/>
    </a:p>
  </c:txPr>
  <c:printSettings>
    <c:headerFooter alignWithMargins="0"/>
    <c:pageMargins b="1" l="0.75000000000001465" r="0.75000000000001465" t="1" header="0" footer="0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CO"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CO"/>
              <a:t>Dipersiom</a:t>
            </a:r>
          </a:p>
        </c:rich>
      </c:tx>
      <c:layout>
        <c:manualLayout>
          <c:xMode val="edge"/>
          <c:yMode val="edge"/>
          <c:x val="0.37272837573502543"/>
          <c:y val="4.06505678773178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229781231353966"/>
          <c:y val="0.16080477468080587"/>
          <c:w val="0.69287365360541309"/>
          <c:h val="0.64321657500086438"/>
        </c:manualLayout>
      </c:layout>
      <c:scatterChart>
        <c:scatterStyle val="lineMarker"/>
        <c:varyColors val="0"/>
        <c:ser>
          <c:idx val="2"/>
          <c:order val="0"/>
          <c:tx>
            <c:v>modelo</c:v>
          </c:tx>
          <c:spPr>
            <a:ln w="254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trendline>
            <c:trendlineType val="exp"/>
            <c:dispRSqr val="1"/>
            <c:dispEq val="1"/>
            <c:trendlineLbl>
              <c:layout>
                <c:manualLayout>
                  <c:x val="3.7030690312647094E-2"/>
                  <c:y val="-0.1978791641930937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lang="es-CO"/>
                  </a:pPr>
                  <a:endParaRPr lang="es-MX"/>
                </a:p>
              </c:txPr>
            </c:trendlineLbl>
          </c:trendline>
          <c:xVal>
            <c:numRef>
              <c:f>[1]TRH8hP4!$D$13:$D$71</c:f>
              <c:numCache>
                <c:formatCode>General</c:formatCode>
                <c:ptCount val="5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70</c:v>
                </c:pt>
                <c:pt idx="13">
                  <c:v>80</c:v>
                </c:pt>
                <c:pt idx="14">
                  <c:v>90</c:v>
                </c:pt>
                <c:pt idx="15">
                  <c:v>100</c:v>
                </c:pt>
                <c:pt idx="16">
                  <c:v>110</c:v>
                </c:pt>
                <c:pt idx="17">
                  <c:v>120</c:v>
                </c:pt>
                <c:pt idx="18">
                  <c:v>135</c:v>
                </c:pt>
                <c:pt idx="19">
                  <c:v>150</c:v>
                </c:pt>
                <c:pt idx="20">
                  <c:v>165</c:v>
                </c:pt>
                <c:pt idx="21">
                  <c:v>180</c:v>
                </c:pt>
                <c:pt idx="22">
                  <c:v>195</c:v>
                </c:pt>
                <c:pt idx="23">
                  <c:v>210</c:v>
                </c:pt>
                <c:pt idx="24">
                  <c:v>225</c:v>
                </c:pt>
                <c:pt idx="25">
                  <c:v>240</c:v>
                </c:pt>
                <c:pt idx="26">
                  <c:v>255</c:v>
                </c:pt>
                <c:pt idx="27">
                  <c:v>270</c:v>
                </c:pt>
                <c:pt idx="28">
                  <c:v>285</c:v>
                </c:pt>
                <c:pt idx="29">
                  <c:v>300</c:v>
                </c:pt>
                <c:pt idx="30">
                  <c:v>320</c:v>
                </c:pt>
                <c:pt idx="31">
                  <c:v>340</c:v>
                </c:pt>
                <c:pt idx="32">
                  <c:v>360</c:v>
                </c:pt>
                <c:pt idx="33">
                  <c:v>380</c:v>
                </c:pt>
                <c:pt idx="34">
                  <c:v>400</c:v>
                </c:pt>
                <c:pt idx="35">
                  <c:v>420</c:v>
                </c:pt>
                <c:pt idx="36">
                  <c:v>440</c:v>
                </c:pt>
                <c:pt idx="37">
                  <c:v>460</c:v>
                </c:pt>
                <c:pt idx="38">
                  <c:v>480</c:v>
                </c:pt>
                <c:pt idx="39">
                  <c:v>510</c:v>
                </c:pt>
                <c:pt idx="40">
                  <c:v>540</c:v>
                </c:pt>
                <c:pt idx="41">
                  <c:v>570</c:v>
                </c:pt>
                <c:pt idx="42">
                  <c:v>600</c:v>
                </c:pt>
                <c:pt idx="43">
                  <c:v>630</c:v>
                </c:pt>
                <c:pt idx="44">
                  <c:v>660</c:v>
                </c:pt>
                <c:pt idx="45">
                  <c:v>690</c:v>
                </c:pt>
                <c:pt idx="46">
                  <c:v>720</c:v>
                </c:pt>
                <c:pt idx="47">
                  <c:v>780</c:v>
                </c:pt>
                <c:pt idx="48">
                  <c:v>840</c:v>
                </c:pt>
                <c:pt idx="49">
                  <c:v>900</c:v>
                </c:pt>
                <c:pt idx="50">
                  <c:v>960</c:v>
                </c:pt>
                <c:pt idx="51">
                  <c:v>1020</c:v>
                </c:pt>
                <c:pt idx="52">
                  <c:v>1080</c:v>
                </c:pt>
                <c:pt idx="53">
                  <c:v>1140</c:v>
                </c:pt>
                <c:pt idx="54">
                  <c:v>1200</c:v>
                </c:pt>
                <c:pt idx="55">
                  <c:v>1260</c:v>
                </c:pt>
                <c:pt idx="56">
                  <c:v>1320</c:v>
                </c:pt>
                <c:pt idx="57">
                  <c:v>1380</c:v>
                </c:pt>
                <c:pt idx="58">
                  <c:v>1440</c:v>
                </c:pt>
              </c:numCache>
            </c:numRef>
          </c:xVal>
          <c:yVal>
            <c:numRef>
              <c:f>[1]TRH8hP4!$M$14:$M$71</c:f>
              <c:numCache>
                <c:formatCode>General</c:formatCode>
                <c:ptCount val="58"/>
                <c:pt idx="0">
                  <c:v>2.3634661090255561E-2</c:v>
                </c:pt>
                <c:pt idx="1">
                  <c:v>0.2178432558178596</c:v>
                </c:pt>
                <c:pt idx="2">
                  <c:v>0.35956304115962479</c:v>
                </c:pt>
                <c:pt idx="3">
                  <c:v>0.58526492151873222</c:v>
                </c:pt>
                <c:pt idx="4">
                  <c:v>2.6244404692919536E-4</c:v>
                </c:pt>
                <c:pt idx="5">
                  <c:v>0.66662257606678255</c:v>
                </c:pt>
                <c:pt idx="6">
                  <c:v>0.65612481418961466</c:v>
                </c:pt>
                <c:pt idx="7">
                  <c:v>0.68499365935182621</c:v>
                </c:pt>
                <c:pt idx="8">
                  <c:v>0.6876180998211181</c:v>
                </c:pt>
                <c:pt idx="9">
                  <c:v>0.69811586169828588</c:v>
                </c:pt>
                <c:pt idx="10">
                  <c:v>0.74273134967624888</c:v>
                </c:pt>
                <c:pt idx="11">
                  <c:v>0.81884012328571543</c:v>
                </c:pt>
                <c:pt idx="12">
                  <c:v>0.79259571859279598</c:v>
                </c:pt>
                <c:pt idx="13">
                  <c:v>0.77160019483846032</c:v>
                </c:pt>
                <c:pt idx="14">
                  <c:v>0.7847223971849201</c:v>
                </c:pt>
                <c:pt idx="15">
                  <c:v>0.75847799249200054</c:v>
                </c:pt>
                <c:pt idx="16">
                  <c:v>0.76372687343058454</c:v>
                </c:pt>
                <c:pt idx="17">
                  <c:v>0.69549142122899399</c:v>
                </c:pt>
                <c:pt idx="18">
                  <c:v>0.64300261184315499</c:v>
                </c:pt>
                <c:pt idx="19">
                  <c:v>0.63512929043527921</c:v>
                </c:pt>
                <c:pt idx="20">
                  <c:v>0.61675820715023555</c:v>
                </c:pt>
                <c:pt idx="21">
                  <c:v>0.55377163588722889</c:v>
                </c:pt>
                <c:pt idx="22">
                  <c:v>0.54327387401006111</c:v>
                </c:pt>
                <c:pt idx="23">
                  <c:v>0.53802499307147711</c:v>
                </c:pt>
                <c:pt idx="24">
                  <c:v>0.52752723119430933</c:v>
                </c:pt>
                <c:pt idx="25">
                  <c:v>0.51965390978643355</c:v>
                </c:pt>
                <c:pt idx="26">
                  <c:v>0.446169576646259</c:v>
                </c:pt>
                <c:pt idx="27">
                  <c:v>0.46191621946201067</c:v>
                </c:pt>
                <c:pt idx="28">
                  <c:v>0.49078506462422211</c:v>
                </c:pt>
                <c:pt idx="29">
                  <c:v>0.44092069570767511</c:v>
                </c:pt>
                <c:pt idx="30">
                  <c:v>0.43304737429979923</c:v>
                </c:pt>
                <c:pt idx="31">
                  <c:v>0.38843188632183623</c:v>
                </c:pt>
                <c:pt idx="32">
                  <c:v>0.32282087458953751</c:v>
                </c:pt>
                <c:pt idx="33">
                  <c:v>0.35693860069033279</c:v>
                </c:pt>
                <c:pt idx="34">
                  <c:v>0.30182535083520196</c:v>
                </c:pt>
                <c:pt idx="35">
                  <c:v>0.2440876605107791</c:v>
                </c:pt>
                <c:pt idx="36">
                  <c:v>0.22571657722573546</c:v>
                </c:pt>
                <c:pt idx="37">
                  <c:v>0.20734549394069182</c:v>
                </c:pt>
                <c:pt idx="38">
                  <c:v>0.1942232915942321</c:v>
                </c:pt>
                <c:pt idx="39">
                  <c:v>0.18634997018635624</c:v>
                </c:pt>
                <c:pt idx="40">
                  <c:v>0.15223224408556096</c:v>
                </c:pt>
                <c:pt idx="41">
                  <c:v>0.13648560126980924</c:v>
                </c:pt>
                <c:pt idx="42">
                  <c:v>0.13386116080051733</c:v>
                </c:pt>
                <c:pt idx="43">
                  <c:v>0.15748112502414485</c:v>
                </c:pt>
                <c:pt idx="44">
                  <c:v>0.14698336314697705</c:v>
                </c:pt>
                <c:pt idx="45">
                  <c:v>0.14960780361626902</c:v>
                </c:pt>
                <c:pt idx="46">
                  <c:v>9.4494553761138106E-2</c:v>
                </c:pt>
                <c:pt idx="47">
                  <c:v>7.874791094538644E-2</c:v>
                </c:pt>
                <c:pt idx="48">
                  <c:v>6.300126812963476E-2</c:v>
                </c:pt>
                <c:pt idx="49">
                  <c:v>4.9879065783175025E-2</c:v>
                </c:pt>
                <c:pt idx="50">
                  <c:v>3.1507982498131394E-2</c:v>
                </c:pt>
                <c:pt idx="51">
                  <c:v>2.8883542028839453E-2</c:v>
                </c:pt>
                <c:pt idx="52">
                  <c:v>2.3634661090255561E-2</c:v>
                </c:pt>
                <c:pt idx="53">
                  <c:v>1.5761339682379714E-2</c:v>
                </c:pt>
                <c:pt idx="54">
                  <c:v>1.0512458743795822E-2</c:v>
                </c:pt>
                <c:pt idx="55">
                  <c:v>1.0512458743795822E-2</c:v>
                </c:pt>
                <c:pt idx="56">
                  <c:v>7.8880182745038763E-3</c:v>
                </c:pt>
                <c:pt idx="57">
                  <c:v>5.2635778052119277E-3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35D-45F4-802D-F9A74AE5A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27880112"/>
        <c:axId val="-1827884464"/>
      </c:scatterChart>
      <c:valAx>
        <c:axId val="-182788011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crossAx val="-1827884464"/>
        <c:crosses val="max"/>
        <c:crossBetween val="midCat"/>
        <c:majorUnit val="1"/>
        <c:minorUnit val="1"/>
        <c:dispUnits>
          <c:builtInUnit val="thousands"/>
          <c:dispUnitsLbl>
            <c:txPr>
              <a:bodyPr/>
              <a:lstStyle/>
              <a:p>
                <a:pPr>
                  <a:defRPr lang="es-CO"/>
                </a:pPr>
                <a:endParaRPr lang="es-MX"/>
              </a:p>
            </c:txPr>
          </c:dispUnitsLbl>
        </c:dispUnits>
      </c:valAx>
      <c:valAx>
        <c:axId val="-1827884464"/>
        <c:scaling>
          <c:logBase val="2.2999999999999998"/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s-CO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CO"/>
                  <a:t>C/Co</a:t>
                </a:r>
              </a:p>
            </c:rich>
          </c:tx>
          <c:layout>
            <c:manualLayout>
              <c:xMode val="edge"/>
              <c:yMode val="edge"/>
              <c:x val="4.8484991965532118E-2"/>
              <c:y val="0.4593514170136918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-182788011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printSettings>
    <c:headerFooter alignWithMargins="0"/>
    <c:pageMargins b="1" l="0.75000000000001343" r="0.75000000000001343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CO"/>
            </a:pPr>
            <a:r>
              <a:rPr lang="es-MX"/>
              <a:t>TRH 8 h. Punto 4</a:t>
            </a:r>
          </a:p>
        </c:rich>
      </c:tx>
      <c:layout>
        <c:manualLayout>
          <c:xMode val="edge"/>
          <c:yMode val="edge"/>
          <c:x val="0.31227425214232335"/>
          <c:y val="3.38027574139444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451606737435244"/>
          <c:y val="0.13000707756175023"/>
          <c:w val="0.77272000857796863"/>
          <c:h val="0.61817756793049972"/>
        </c:manualLayout>
      </c:layout>
      <c:scatterChart>
        <c:scatterStyle val="lineMarker"/>
        <c:varyColors val="0"/>
        <c:ser>
          <c:idx val="0"/>
          <c:order val="0"/>
          <c:tx>
            <c:v>Dato exp</c:v>
          </c:tx>
          <c:spPr>
            <a:ln w="15875">
              <a:solidFill>
                <a:schemeClr val="tx1"/>
              </a:solidFill>
              <a:prstDash val="solid"/>
            </a:ln>
          </c:spPr>
          <c:marker>
            <c:symbol val="triangle"/>
            <c:size val="4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trendline>
            <c:trendlineType val="log"/>
            <c:dispRSqr val="0"/>
            <c:dispEq val="0"/>
          </c:trendline>
          <c:xVal>
            <c:numRef>
              <c:f>[1]TRH8hP4!$L$12:$L$82</c:f>
              <c:numCache>
                <c:formatCode>General</c:formatCode>
                <c:ptCount val="71"/>
                <c:pt idx="0">
                  <c:v>0</c:v>
                </c:pt>
                <c:pt idx="1">
                  <c:v>1.7507002801120452E-2</c:v>
                </c:pt>
                <c:pt idx="2">
                  <c:v>3.5014005602240904E-2</c:v>
                </c:pt>
                <c:pt idx="3">
                  <c:v>5.2521008403361352E-2</c:v>
                </c:pt>
                <c:pt idx="4">
                  <c:v>7.0028011204481808E-2</c:v>
                </c:pt>
                <c:pt idx="5">
                  <c:v>8.7535014005602249E-2</c:v>
                </c:pt>
                <c:pt idx="6">
                  <c:v>0.1050420168067227</c:v>
                </c:pt>
                <c:pt idx="7">
                  <c:v>0.12254901960784315</c:v>
                </c:pt>
                <c:pt idx="8">
                  <c:v>0.14005602240896362</c:v>
                </c:pt>
                <c:pt idx="9">
                  <c:v>0.15756302521008406</c:v>
                </c:pt>
                <c:pt idx="10">
                  <c:v>0.1750700280112045</c:v>
                </c:pt>
                <c:pt idx="11">
                  <c:v>0.19257703081232494</c:v>
                </c:pt>
                <c:pt idx="12">
                  <c:v>0.21008403361344541</c:v>
                </c:pt>
                <c:pt idx="13">
                  <c:v>0.24509803921568629</c:v>
                </c:pt>
                <c:pt idx="14">
                  <c:v>0.28011204481792723</c:v>
                </c:pt>
                <c:pt idx="15">
                  <c:v>0.31512605042016811</c:v>
                </c:pt>
                <c:pt idx="16">
                  <c:v>0.350140056022409</c:v>
                </c:pt>
                <c:pt idx="17">
                  <c:v>0.38515406162464988</c:v>
                </c:pt>
                <c:pt idx="18">
                  <c:v>0.42016806722689082</c:v>
                </c:pt>
                <c:pt idx="19">
                  <c:v>0.47268907563025214</c:v>
                </c:pt>
                <c:pt idx="20">
                  <c:v>0.52521008403361347</c:v>
                </c:pt>
                <c:pt idx="21">
                  <c:v>0.57773109243697485</c:v>
                </c:pt>
                <c:pt idx="22">
                  <c:v>0.63025210084033623</c:v>
                </c:pt>
                <c:pt idx="23">
                  <c:v>0.68277310924369761</c:v>
                </c:pt>
                <c:pt idx="24">
                  <c:v>0.73529411764705888</c:v>
                </c:pt>
                <c:pt idx="25">
                  <c:v>0.78781512605042026</c:v>
                </c:pt>
                <c:pt idx="26">
                  <c:v>0.84033613445378164</c:v>
                </c:pt>
                <c:pt idx="27">
                  <c:v>0.89285714285714302</c:v>
                </c:pt>
                <c:pt idx="28">
                  <c:v>0.94537815126050428</c:v>
                </c:pt>
                <c:pt idx="29">
                  <c:v>0.99789915966386566</c:v>
                </c:pt>
                <c:pt idx="30">
                  <c:v>1.0504201680672269</c:v>
                </c:pt>
                <c:pt idx="31">
                  <c:v>1.1204481792717089</c:v>
                </c:pt>
                <c:pt idx="32">
                  <c:v>1.1904761904761907</c:v>
                </c:pt>
                <c:pt idx="33">
                  <c:v>1.2605042016806725</c:v>
                </c:pt>
                <c:pt idx="34">
                  <c:v>1.3305322128851542</c:v>
                </c:pt>
                <c:pt idx="35">
                  <c:v>1.400560224089636</c:v>
                </c:pt>
                <c:pt idx="36">
                  <c:v>1.4705882352941178</c:v>
                </c:pt>
                <c:pt idx="37">
                  <c:v>1.5406162464985995</c:v>
                </c:pt>
                <c:pt idx="38">
                  <c:v>1.6106442577030815</c:v>
                </c:pt>
                <c:pt idx="39">
                  <c:v>1.6806722689075633</c:v>
                </c:pt>
                <c:pt idx="40">
                  <c:v>1.785714285714286</c:v>
                </c:pt>
                <c:pt idx="41">
                  <c:v>1.8907563025210086</c:v>
                </c:pt>
                <c:pt idx="42">
                  <c:v>1.9957983193277313</c:v>
                </c:pt>
                <c:pt idx="43">
                  <c:v>2.1008403361344539</c:v>
                </c:pt>
                <c:pt idx="44">
                  <c:v>2.2058823529411766</c:v>
                </c:pt>
                <c:pt idx="45">
                  <c:v>2.3109243697478994</c:v>
                </c:pt>
                <c:pt idx="46">
                  <c:v>2.4159663865546221</c:v>
                </c:pt>
                <c:pt idx="47">
                  <c:v>2.5210084033613449</c:v>
                </c:pt>
                <c:pt idx="48">
                  <c:v>2.7310924369747904</c:v>
                </c:pt>
                <c:pt idx="49">
                  <c:v>2.9411764705882355</c:v>
                </c:pt>
                <c:pt idx="50">
                  <c:v>3.151260504201681</c:v>
                </c:pt>
                <c:pt idx="51">
                  <c:v>3.3613445378151265</c:v>
                </c:pt>
                <c:pt idx="52">
                  <c:v>3.5714285714285721</c:v>
                </c:pt>
                <c:pt idx="53">
                  <c:v>3.7815126050420171</c:v>
                </c:pt>
                <c:pt idx="54">
                  <c:v>3.9915966386554627</c:v>
                </c:pt>
                <c:pt idx="55">
                  <c:v>4.2016806722689077</c:v>
                </c:pt>
                <c:pt idx="56">
                  <c:v>4.4117647058823533</c:v>
                </c:pt>
                <c:pt idx="57">
                  <c:v>4.6218487394957988</c:v>
                </c:pt>
                <c:pt idx="58">
                  <c:v>4.8319327731092443</c:v>
                </c:pt>
                <c:pt idx="59">
                  <c:v>5.0420168067226898</c:v>
                </c:pt>
                <c:pt idx="60">
                  <c:v>5.1470588235294121</c:v>
                </c:pt>
                <c:pt idx="61">
                  <c:v>5.2521008403361353</c:v>
                </c:pt>
                <c:pt idx="62">
                  <c:v>5.3571428571428577</c:v>
                </c:pt>
                <c:pt idx="63">
                  <c:v>5.4621848739495809</c:v>
                </c:pt>
                <c:pt idx="64">
                  <c:v>5.5672268907563032</c:v>
                </c:pt>
                <c:pt idx="65">
                  <c:v>5.6722689075630255</c:v>
                </c:pt>
                <c:pt idx="66">
                  <c:v>5.7773109243697487</c:v>
                </c:pt>
                <c:pt idx="67">
                  <c:v>5.882352941176471</c:v>
                </c:pt>
                <c:pt idx="68">
                  <c:v>5.9873949579831942</c:v>
                </c:pt>
                <c:pt idx="69">
                  <c:v>6.0924369747899165</c:v>
                </c:pt>
                <c:pt idx="70">
                  <c:v>6.1974789915966397</c:v>
                </c:pt>
              </c:numCache>
            </c:numRef>
          </c:xVal>
          <c:yVal>
            <c:numRef>
              <c:f>[1]TRH8hP4!$M$12:$M$82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2.3634661090255561E-2</c:v>
                </c:pt>
                <c:pt idx="3">
                  <c:v>0.2178432558178596</c:v>
                </c:pt>
                <c:pt idx="4">
                  <c:v>0.35956304115962479</c:v>
                </c:pt>
                <c:pt idx="5">
                  <c:v>0.58526492151873222</c:v>
                </c:pt>
                <c:pt idx="6">
                  <c:v>2.6244404692919536E-4</c:v>
                </c:pt>
                <c:pt idx="7">
                  <c:v>0.66662257606678255</c:v>
                </c:pt>
                <c:pt idx="8">
                  <c:v>0.65612481418961466</c:v>
                </c:pt>
                <c:pt idx="9">
                  <c:v>0.68499365935182621</c:v>
                </c:pt>
                <c:pt idx="10">
                  <c:v>0.6876180998211181</c:v>
                </c:pt>
                <c:pt idx="11">
                  <c:v>0.69811586169828588</c:v>
                </c:pt>
                <c:pt idx="12">
                  <c:v>0.74273134967624888</c:v>
                </c:pt>
                <c:pt idx="13">
                  <c:v>0.81884012328571543</c:v>
                </c:pt>
                <c:pt idx="14">
                  <c:v>0.79259571859279598</c:v>
                </c:pt>
                <c:pt idx="15">
                  <c:v>0.77160019483846032</c:v>
                </c:pt>
                <c:pt idx="16">
                  <c:v>0.7847223971849201</c:v>
                </c:pt>
                <c:pt idx="17">
                  <c:v>0.75847799249200054</c:v>
                </c:pt>
                <c:pt idx="18">
                  <c:v>0.76372687343058454</c:v>
                </c:pt>
                <c:pt idx="19">
                  <c:v>0.69549142122899399</c:v>
                </c:pt>
                <c:pt idx="20">
                  <c:v>0.64300261184315499</c:v>
                </c:pt>
                <c:pt idx="21">
                  <c:v>0.63512929043527921</c:v>
                </c:pt>
                <c:pt idx="22">
                  <c:v>0.61675820715023555</c:v>
                </c:pt>
                <c:pt idx="23">
                  <c:v>0.55377163588722889</c:v>
                </c:pt>
                <c:pt idx="24">
                  <c:v>0.54327387401006111</c:v>
                </c:pt>
                <c:pt idx="25">
                  <c:v>0.53802499307147711</c:v>
                </c:pt>
                <c:pt idx="26">
                  <c:v>0.52752723119430933</c:v>
                </c:pt>
                <c:pt idx="27">
                  <c:v>0.51965390978643355</c:v>
                </c:pt>
                <c:pt idx="28">
                  <c:v>0.446169576646259</c:v>
                </c:pt>
                <c:pt idx="29">
                  <c:v>0.46191621946201067</c:v>
                </c:pt>
                <c:pt idx="30">
                  <c:v>0.49078506462422211</c:v>
                </c:pt>
                <c:pt idx="31">
                  <c:v>0.44092069570767511</c:v>
                </c:pt>
                <c:pt idx="32">
                  <c:v>0.43304737429979923</c:v>
                </c:pt>
                <c:pt idx="33">
                  <c:v>0.38843188632183623</c:v>
                </c:pt>
                <c:pt idx="34">
                  <c:v>0.32282087458953751</c:v>
                </c:pt>
                <c:pt idx="35">
                  <c:v>0.35693860069033279</c:v>
                </c:pt>
                <c:pt idx="36">
                  <c:v>0.30182535083520196</c:v>
                </c:pt>
                <c:pt idx="37">
                  <c:v>0.2440876605107791</c:v>
                </c:pt>
                <c:pt idx="38">
                  <c:v>0.22571657722573546</c:v>
                </c:pt>
                <c:pt idx="39">
                  <c:v>0.20734549394069182</c:v>
                </c:pt>
                <c:pt idx="40">
                  <c:v>0.1942232915942321</c:v>
                </c:pt>
                <c:pt idx="41">
                  <c:v>0.18634997018635624</c:v>
                </c:pt>
                <c:pt idx="42">
                  <c:v>0.15223224408556096</c:v>
                </c:pt>
                <c:pt idx="43">
                  <c:v>0.13648560126980924</c:v>
                </c:pt>
                <c:pt idx="44">
                  <c:v>0.13386116080051733</c:v>
                </c:pt>
                <c:pt idx="45">
                  <c:v>0.15748112502414485</c:v>
                </c:pt>
                <c:pt idx="46">
                  <c:v>0.14698336314697705</c:v>
                </c:pt>
                <c:pt idx="47">
                  <c:v>0.14960780361626902</c:v>
                </c:pt>
                <c:pt idx="48">
                  <c:v>9.4494553761138106E-2</c:v>
                </c:pt>
                <c:pt idx="49">
                  <c:v>7.874791094538644E-2</c:v>
                </c:pt>
                <c:pt idx="50">
                  <c:v>6.300126812963476E-2</c:v>
                </c:pt>
                <c:pt idx="51">
                  <c:v>4.9879065783175025E-2</c:v>
                </c:pt>
                <c:pt idx="52">
                  <c:v>3.1507982498131394E-2</c:v>
                </c:pt>
                <c:pt idx="53">
                  <c:v>2.8883542028839453E-2</c:v>
                </c:pt>
                <c:pt idx="54">
                  <c:v>2.3634661090255561E-2</c:v>
                </c:pt>
                <c:pt idx="55">
                  <c:v>1.5761339682379714E-2</c:v>
                </c:pt>
                <c:pt idx="56">
                  <c:v>1.0512458743795822E-2</c:v>
                </c:pt>
                <c:pt idx="57">
                  <c:v>1.0512458743795822E-2</c:v>
                </c:pt>
                <c:pt idx="58">
                  <c:v>7.8880182745038763E-3</c:v>
                </c:pt>
                <c:pt idx="59">
                  <c:v>5.2635778052119277E-3</c:v>
                </c:pt>
                <c:pt idx="60">
                  <c:v>2.6391373359199825E-3</c:v>
                </c:pt>
                <c:pt idx="61">
                  <c:v>2.6391373359199825E-3</c:v>
                </c:pt>
                <c:pt idx="62">
                  <c:v>2.6391373359199825E-3</c:v>
                </c:pt>
                <c:pt idx="63">
                  <c:v>2.6391373359199825E-3</c:v>
                </c:pt>
                <c:pt idx="64">
                  <c:v>1.4696866628035513E-5</c:v>
                </c:pt>
                <c:pt idx="65">
                  <c:v>1.4696866628035513E-5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0D74-4EB7-9DAD-1D498311CE76}"/>
            </c:ext>
          </c:extLst>
        </c:ser>
        <c:ser>
          <c:idx val="1"/>
          <c:order val="1"/>
          <c:tx>
            <c:v>Tanq. Serie</c:v>
          </c:tx>
          <c:spPr>
            <a:ln w="12700"/>
          </c:spPr>
          <c:marker>
            <c:symbol val="squar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trendline>
            <c:trendlineType val="log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log"/>
            <c:dispRSqr val="0"/>
            <c:dispEq val="0"/>
          </c:trendline>
          <c:xVal>
            <c:numRef>
              <c:f>[1]TRH8hP4!$L$12:$L$82</c:f>
              <c:numCache>
                <c:formatCode>General</c:formatCode>
                <c:ptCount val="71"/>
                <c:pt idx="0">
                  <c:v>0</c:v>
                </c:pt>
                <c:pt idx="1">
                  <c:v>1.7507002801120452E-2</c:v>
                </c:pt>
                <c:pt idx="2">
                  <c:v>3.5014005602240904E-2</c:v>
                </c:pt>
                <c:pt idx="3">
                  <c:v>5.2521008403361352E-2</c:v>
                </c:pt>
                <c:pt idx="4">
                  <c:v>7.0028011204481808E-2</c:v>
                </c:pt>
                <c:pt idx="5">
                  <c:v>8.7535014005602249E-2</c:v>
                </c:pt>
                <c:pt idx="6">
                  <c:v>0.1050420168067227</c:v>
                </c:pt>
                <c:pt idx="7">
                  <c:v>0.12254901960784315</c:v>
                </c:pt>
                <c:pt idx="8">
                  <c:v>0.14005602240896362</c:v>
                </c:pt>
                <c:pt idx="9">
                  <c:v>0.15756302521008406</c:v>
                </c:pt>
                <c:pt idx="10">
                  <c:v>0.1750700280112045</c:v>
                </c:pt>
                <c:pt idx="11">
                  <c:v>0.19257703081232494</c:v>
                </c:pt>
                <c:pt idx="12">
                  <c:v>0.21008403361344541</c:v>
                </c:pt>
                <c:pt idx="13">
                  <c:v>0.24509803921568629</c:v>
                </c:pt>
                <c:pt idx="14">
                  <c:v>0.28011204481792723</c:v>
                </c:pt>
                <c:pt idx="15">
                  <c:v>0.31512605042016811</c:v>
                </c:pt>
                <c:pt idx="16">
                  <c:v>0.350140056022409</c:v>
                </c:pt>
                <c:pt idx="17">
                  <c:v>0.38515406162464988</c:v>
                </c:pt>
                <c:pt idx="18">
                  <c:v>0.42016806722689082</c:v>
                </c:pt>
                <c:pt idx="19">
                  <c:v>0.47268907563025214</c:v>
                </c:pt>
                <c:pt idx="20">
                  <c:v>0.52521008403361347</c:v>
                </c:pt>
                <c:pt idx="21">
                  <c:v>0.57773109243697485</c:v>
                </c:pt>
                <c:pt idx="22">
                  <c:v>0.63025210084033623</c:v>
                </c:pt>
                <c:pt idx="23">
                  <c:v>0.68277310924369761</c:v>
                </c:pt>
                <c:pt idx="24">
                  <c:v>0.73529411764705888</c:v>
                </c:pt>
                <c:pt idx="25">
                  <c:v>0.78781512605042026</c:v>
                </c:pt>
                <c:pt idx="26">
                  <c:v>0.84033613445378164</c:v>
                </c:pt>
                <c:pt idx="27">
                  <c:v>0.89285714285714302</c:v>
                </c:pt>
                <c:pt idx="28">
                  <c:v>0.94537815126050428</c:v>
                </c:pt>
                <c:pt idx="29">
                  <c:v>0.99789915966386566</c:v>
                </c:pt>
                <c:pt idx="30">
                  <c:v>1.0504201680672269</c:v>
                </c:pt>
                <c:pt idx="31">
                  <c:v>1.1204481792717089</c:v>
                </c:pt>
                <c:pt idx="32">
                  <c:v>1.1904761904761907</c:v>
                </c:pt>
                <c:pt idx="33">
                  <c:v>1.2605042016806725</c:v>
                </c:pt>
                <c:pt idx="34">
                  <c:v>1.3305322128851542</c:v>
                </c:pt>
                <c:pt idx="35">
                  <c:v>1.400560224089636</c:v>
                </c:pt>
                <c:pt idx="36">
                  <c:v>1.4705882352941178</c:v>
                </c:pt>
                <c:pt idx="37">
                  <c:v>1.5406162464985995</c:v>
                </c:pt>
                <c:pt idx="38">
                  <c:v>1.6106442577030815</c:v>
                </c:pt>
                <c:pt idx="39">
                  <c:v>1.6806722689075633</c:v>
                </c:pt>
                <c:pt idx="40">
                  <c:v>1.785714285714286</c:v>
                </c:pt>
                <c:pt idx="41">
                  <c:v>1.8907563025210086</c:v>
                </c:pt>
                <c:pt idx="42">
                  <c:v>1.9957983193277313</c:v>
                </c:pt>
                <c:pt idx="43">
                  <c:v>2.1008403361344539</c:v>
                </c:pt>
                <c:pt idx="44">
                  <c:v>2.2058823529411766</c:v>
                </c:pt>
                <c:pt idx="45">
                  <c:v>2.3109243697478994</c:v>
                </c:pt>
                <c:pt idx="46">
                  <c:v>2.4159663865546221</c:v>
                </c:pt>
                <c:pt idx="47">
                  <c:v>2.5210084033613449</c:v>
                </c:pt>
                <c:pt idx="48">
                  <c:v>2.7310924369747904</c:v>
                </c:pt>
                <c:pt idx="49">
                  <c:v>2.9411764705882355</c:v>
                </c:pt>
                <c:pt idx="50">
                  <c:v>3.151260504201681</c:v>
                </c:pt>
                <c:pt idx="51">
                  <c:v>3.3613445378151265</c:v>
                </c:pt>
                <c:pt idx="52">
                  <c:v>3.5714285714285721</c:v>
                </c:pt>
                <c:pt idx="53">
                  <c:v>3.7815126050420171</c:v>
                </c:pt>
                <c:pt idx="54">
                  <c:v>3.9915966386554627</c:v>
                </c:pt>
                <c:pt idx="55">
                  <c:v>4.2016806722689077</c:v>
                </c:pt>
                <c:pt idx="56">
                  <c:v>4.4117647058823533</c:v>
                </c:pt>
                <c:pt idx="57">
                  <c:v>4.6218487394957988</c:v>
                </c:pt>
                <c:pt idx="58">
                  <c:v>4.8319327731092443</c:v>
                </c:pt>
                <c:pt idx="59">
                  <c:v>5.0420168067226898</c:v>
                </c:pt>
                <c:pt idx="60">
                  <c:v>5.1470588235294121</c:v>
                </c:pt>
                <c:pt idx="61">
                  <c:v>5.2521008403361353</c:v>
                </c:pt>
                <c:pt idx="62">
                  <c:v>5.3571428571428577</c:v>
                </c:pt>
                <c:pt idx="63">
                  <c:v>5.4621848739495809</c:v>
                </c:pt>
                <c:pt idx="64">
                  <c:v>5.5672268907563032</c:v>
                </c:pt>
                <c:pt idx="65">
                  <c:v>5.6722689075630255</c:v>
                </c:pt>
                <c:pt idx="66">
                  <c:v>5.7773109243697487</c:v>
                </c:pt>
                <c:pt idx="67">
                  <c:v>5.882352941176471</c:v>
                </c:pt>
                <c:pt idx="68">
                  <c:v>5.9873949579831942</c:v>
                </c:pt>
                <c:pt idx="69">
                  <c:v>6.0924369747899165</c:v>
                </c:pt>
                <c:pt idx="70">
                  <c:v>6.1974789915966397</c:v>
                </c:pt>
              </c:numCache>
            </c:numRef>
          </c:xVal>
          <c:yVal>
            <c:numRef>
              <c:f>[1]TRH8hP4!$Q$12:$Q$82</c:f>
              <c:numCache>
                <c:formatCode>General</c:formatCode>
                <c:ptCount val="71"/>
                <c:pt idx="0">
                  <c:v>0</c:v>
                </c:pt>
                <c:pt idx="1">
                  <c:v>0.22336730220434281</c:v>
                </c:pt>
                <c:pt idx="2">
                  <c:v>0.3123094994589376</c:v>
                </c:pt>
                <c:pt idx="3">
                  <c:v>0.37577922738439562</c:v>
                </c:pt>
                <c:pt idx="4">
                  <c:v>0.42518577594589679</c:v>
                </c:pt>
                <c:pt idx="5">
                  <c:v>0.46515071381796991</c:v>
                </c:pt>
                <c:pt idx="6">
                  <c:v>0.49814323850800779</c:v>
                </c:pt>
                <c:pt idx="7">
                  <c:v>0.52568840948104634</c:v>
                </c:pt>
                <c:pt idx="8">
                  <c:v>0.5488177331535028</c:v>
                </c:pt>
                <c:pt idx="9">
                  <c:v>0.56827387387947648</c:v>
                </c:pt>
                <c:pt idx="10">
                  <c:v>0.58461645851604116</c:v>
                </c:pt>
                <c:pt idx="11">
                  <c:v>0.59828202790338592</c:v>
                </c:pt>
                <c:pt idx="12">
                  <c:v>0.60962044479913102</c:v>
                </c:pt>
                <c:pt idx="13">
                  <c:v>0.6264142416997609</c:v>
                </c:pt>
                <c:pt idx="14">
                  <c:v>0.63677982401389222</c:v>
                </c:pt>
                <c:pt idx="15">
                  <c:v>0.64201738240395356</c:v>
                </c:pt>
                <c:pt idx="16">
                  <c:v>0.64311416007635636</c:v>
                </c:pt>
                <c:pt idx="17">
                  <c:v>0.64084194361844127</c:v>
                </c:pt>
                <c:pt idx="18">
                  <c:v>0.63581743545330116</c:v>
                </c:pt>
                <c:pt idx="19">
                  <c:v>0.62419151776952075</c:v>
                </c:pt>
                <c:pt idx="20">
                  <c:v>0.60881744152829398</c:v>
                </c:pt>
                <c:pt idx="21">
                  <c:v>0.5907148385230736</c:v>
                </c:pt>
                <c:pt idx="22">
                  <c:v>0.57067299550820783</c:v>
                </c:pt>
                <c:pt idx="23">
                  <c:v>0.54930930329762073</c:v>
                </c:pt>
                <c:pt idx="24">
                  <c:v>0.52710989885206461</c:v>
                </c:pt>
                <c:pt idx="25">
                  <c:v>0.50445889897686036</c:v>
                </c:pt>
                <c:pt idx="26">
                  <c:v>0.48166001442078937</c:v>
                </c:pt>
                <c:pt idx="27">
                  <c:v>0.45895289461830696</c:v>
                </c:pt>
                <c:pt idx="28">
                  <c:v>0.4365257196192871</c:v>
                </c:pt>
                <c:pt idx="29">
                  <c:v>0.41452505150493701</c:v>
                </c:pt>
                <c:pt idx="30">
                  <c:v>0.39306364114644066</c:v>
                </c:pt>
                <c:pt idx="31">
                  <c:v>0.36543119427064991</c:v>
                </c:pt>
                <c:pt idx="32">
                  <c:v>0.33904791176493465</c:v>
                </c:pt>
                <c:pt idx="33">
                  <c:v>0.31400078597339065</c:v>
                </c:pt>
                <c:pt idx="34">
                  <c:v>0.29033515003323646</c:v>
                </c:pt>
                <c:pt idx="35">
                  <c:v>0.26806471146977662</c:v>
                </c:pt>
                <c:pt idx="36">
                  <c:v>0.24717936439071256</c:v>
                </c:pt>
                <c:pt idx="37">
                  <c:v>0.22765129716310667</c:v>
                </c:pt>
                <c:pt idx="38">
                  <c:v>0.20943977897192972</c:v>
                </c:pt>
                <c:pt idx="39">
                  <c:v>0.1924949139819073</c:v>
                </c:pt>
                <c:pt idx="40">
                  <c:v>0.16932870663474625</c:v>
                </c:pt>
                <c:pt idx="41">
                  <c:v>0.14868122401752584</c:v>
                </c:pt>
                <c:pt idx="42">
                  <c:v>0.13034095109152766</c:v>
                </c:pt>
                <c:pt idx="43">
                  <c:v>0.11409767365071116</c:v>
                </c:pt>
                <c:pt idx="44">
                  <c:v>9.9748237265387688E-2</c:v>
                </c:pt>
                <c:pt idx="45">
                  <c:v>8.7100174096700844E-2</c:v>
                </c:pt>
                <c:pt idx="46">
                  <c:v>7.5973815889450791E-2</c:v>
                </c:pt>
                <c:pt idx="47">
                  <c:v>6.6203340493674961E-2</c:v>
                </c:pt>
                <c:pt idx="48">
                  <c:v>5.0137303734590868E-2</c:v>
                </c:pt>
                <c:pt idx="49">
                  <c:v>3.7852679835743537E-2</c:v>
                </c:pt>
                <c:pt idx="50">
                  <c:v>2.8501826091456288E-2</c:v>
                </c:pt>
                <c:pt idx="51">
                  <c:v>2.1411097609193162E-2</c:v>
                </c:pt>
                <c:pt idx="52">
                  <c:v>1.6051583753029886E-2</c:v>
                </c:pt>
                <c:pt idx="53">
                  <c:v>1.2011881846378454E-2</c:v>
                </c:pt>
                <c:pt idx="54">
                  <c:v>8.9743589363389647E-3</c:v>
                </c:pt>
                <c:pt idx="55">
                  <c:v>6.6952525768849943E-3</c:v>
                </c:pt>
                <c:pt idx="56">
                  <c:v>4.9884202235147305E-3</c:v>
                </c:pt>
                <c:pt idx="57">
                  <c:v>3.7123118405581377E-3</c:v>
                </c:pt>
                <c:pt idx="58">
                  <c:v>2.7596689891485147E-3</c:v>
                </c:pt>
                <c:pt idx="59">
                  <c:v>2.0494653630734614E-3</c:v>
                </c:pt>
                <c:pt idx="60">
                  <c:v>1.7655606328827527E-3</c:v>
                </c:pt>
                <c:pt idx="61">
                  <c:v>1.520653448209815E-3</c:v>
                </c:pt>
                <c:pt idx="62">
                  <c:v>1.3094447134469583E-3</c:v>
                </c:pt>
                <c:pt idx="63">
                  <c:v>1.1273451635341186E-3</c:v>
                </c:pt>
                <c:pt idx="64">
                  <c:v>9.7038213050971327E-4</c:v>
                </c:pt>
                <c:pt idx="65">
                  <c:v>8.3511821255403897E-4</c:v>
                </c:pt>
                <c:pt idx="66">
                  <c:v>7.185803917409754E-4</c:v>
                </c:pt>
                <c:pt idx="67">
                  <c:v>6.1819831117326655E-4</c:v>
                </c:pt>
                <c:pt idx="68">
                  <c:v>5.3175057079923079E-4</c:v>
                </c:pt>
                <c:pt idx="69">
                  <c:v>4.5731803488055538E-4</c:v>
                </c:pt>
                <c:pt idx="70">
                  <c:v>3.9324326381346764E-4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0D74-4EB7-9DAD-1D498311CE76}"/>
            </c:ext>
          </c:extLst>
        </c:ser>
        <c:ser>
          <c:idx val="2"/>
          <c:order val="2"/>
          <c:tx>
            <c:v>GD</c:v>
          </c:tx>
          <c:spPr>
            <a:ln w="19050">
              <a:solidFill>
                <a:schemeClr val="tx1"/>
              </a:solidFill>
              <a:prstDash val="sysDash"/>
            </a:ln>
          </c:spPr>
          <c:marker>
            <c:symbol val="none"/>
          </c:marker>
          <c:xVal>
            <c:numRef>
              <c:f>[1]TRH8hP4!$L$12:$L$82</c:f>
              <c:numCache>
                <c:formatCode>General</c:formatCode>
                <c:ptCount val="71"/>
                <c:pt idx="0">
                  <c:v>0</c:v>
                </c:pt>
                <c:pt idx="1">
                  <c:v>1.7507002801120452E-2</c:v>
                </c:pt>
                <c:pt idx="2">
                  <c:v>3.5014005602240904E-2</c:v>
                </c:pt>
                <c:pt idx="3">
                  <c:v>5.2521008403361352E-2</c:v>
                </c:pt>
                <c:pt idx="4">
                  <c:v>7.0028011204481808E-2</c:v>
                </c:pt>
                <c:pt idx="5">
                  <c:v>8.7535014005602249E-2</c:v>
                </c:pt>
                <c:pt idx="6">
                  <c:v>0.1050420168067227</c:v>
                </c:pt>
                <c:pt idx="7">
                  <c:v>0.12254901960784315</c:v>
                </c:pt>
                <c:pt idx="8">
                  <c:v>0.14005602240896362</c:v>
                </c:pt>
                <c:pt idx="9">
                  <c:v>0.15756302521008406</c:v>
                </c:pt>
                <c:pt idx="10">
                  <c:v>0.1750700280112045</c:v>
                </c:pt>
                <c:pt idx="11">
                  <c:v>0.19257703081232494</c:v>
                </c:pt>
                <c:pt idx="12">
                  <c:v>0.21008403361344541</c:v>
                </c:pt>
                <c:pt idx="13">
                  <c:v>0.24509803921568629</c:v>
                </c:pt>
                <c:pt idx="14">
                  <c:v>0.28011204481792723</c:v>
                </c:pt>
                <c:pt idx="15">
                  <c:v>0.31512605042016811</c:v>
                </c:pt>
                <c:pt idx="16">
                  <c:v>0.350140056022409</c:v>
                </c:pt>
                <c:pt idx="17">
                  <c:v>0.38515406162464988</c:v>
                </c:pt>
                <c:pt idx="18">
                  <c:v>0.42016806722689082</c:v>
                </c:pt>
                <c:pt idx="19">
                  <c:v>0.47268907563025214</c:v>
                </c:pt>
                <c:pt idx="20">
                  <c:v>0.52521008403361347</c:v>
                </c:pt>
                <c:pt idx="21">
                  <c:v>0.57773109243697485</c:v>
                </c:pt>
                <c:pt idx="22">
                  <c:v>0.63025210084033623</c:v>
                </c:pt>
                <c:pt idx="23">
                  <c:v>0.68277310924369761</c:v>
                </c:pt>
                <c:pt idx="24">
                  <c:v>0.73529411764705888</c:v>
                </c:pt>
                <c:pt idx="25">
                  <c:v>0.78781512605042026</c:v>
                </c:pt>
                <c:pt idx="26">
                  <c:v>0.84033613445378164</c:v>
                </c:pt>
                <c:pt idx="27">
                  <c:v>0.89285714285714302</c:v>
                </c:pt>
                <c:pt idx="28">
                  <c:v>0.94537815126050428</c:v>
                </c:pt>
                <c:pt idx="29">
                  <c:v>0.99789915966386566</c:v>
                </c:pt>
                <c:pt idx="30">
                  <c:v>1.0504201680672269</c:v>
                </c:pt>
                <c:pt idx="31">
                  <c:v>1.1204481792717089</c:v>
                </c:pt>
                <c:pt idx="32">
                  <c:v>1.1904761904761907</c:v>
                </c:pt>
                <c:pt idx="33">
                  <c:v>1.2605042016806725</c:v>
                </c:pt>
                <c:pt idx="34">
                  <c:v>1.3305322128851542</c:v>
                </c:pt>
                <c:pt idx="35">
                  <c:v>1.400560224089636</c:v>
                </c:pt>
                <c:pt idx="36">
                  <c:v>1.4705882352941178</c:v>
                </c:pt>
                <c:pt idx="37">
                  <c:v>1.5406162464985995</c:v>
                </c:pt>
                <c:pt idx="38">
                  <c:v>1.6106442577030815</c:v>
                </c:pt>
                <c:pt idx="39">
                  <c:v>1.6806722689075633</c:v>
                </c:pt>
                <c:pt idx="40">
                  <c:v>1.785714285714286</c:v>
                </c:pt>
                <c:pt idx="41">
                  <c:v>1.8907563025210086</c:v>
                </c:pt>
                <c:pt idx="42">
                  <c:v>1.9957983193277313</c:v>
                </c:pt>
                <c:pt idx="43">
                  <c:v>2.1008403361344539</c:v>
                </c:pt>
                <c:pt idx="44">
                  <c:v>2.2058823529411766</c:v>
                </c:pt>
                <c:pt idx="45">
                  <c:v>2.3109243697478994</c:v>
                </c:pt>
                <c:pt idx="46">
                  <c:v>2.4159663865546221</c:v>
                </c:pt>
                <c:pt idx="47">
                  <c:v>2.5210084033613449</c:v>
                </c:pt>
                <c:pt idx="48">
                  <c:v>2.7310924369747904</c:v>
                </c:pt>
                <c:pt idx="49">
                  <c:v>2.9411764705882355</c:v>
                </c:pt>
                <c:pt idx="50">
                  <c:v>3.151260504201681</c:v>
                </c:pt>
                <c:pt idx="51">
                  <c:v>3.3613445378151265</c:v>
                </c:pt>
                <c:pt idx="52">
                  <c:v>3.5714285714285721</c:v>
                </c:pt>
                <c:pt idx="53">
                  <c:v>3.7815126050420171</c:v>
                </c:pt>
                <c:pt idx="54">
                  <c:v>3.9915966386554627</c:v>
                </c:pt>
                <c:pt idx="55">
                  <c:v>4.2016806722689077</c:v>
                </c:pt>
                <c:pt idx="56">
                  <c:v>4.4117647058823533</c:v>
                </c:pt>
                <c:pt idx="57">
                  <c:v>4.6218487394957988</c:v>
                </c:pt>
                <c:pt idx="58">
                  <c:v>4.8319327731092443</c:v>
                </c:pt>
                <c:pt idx="59">
                  <c:v>5.0420168067226898</c:v>
                </c:pt>
                <c:pt idx="60">
                  <c:v>5.1470588235294121</c:v>
                </c:pt>
                <c:pt idx="61">
                  <c:v>5.2521008403361353</c:v>
                </c:pt>
                <c:pt idx="62">
                  <c:v>5.3571428571428577</c:v>
                </c:pt>
                <c:pt idx="63">
                  <c:v>5.4621848739495809</c:v>
                </c:pt>
                <c:pt idx="64">
                  <c:v>5.5672268907563032</c:v>
                </c:pt>
                <c:pt idx="65">
                  <c:v>5.6722689075630255</c:v>
                </c:pt>
                <c:pt idx="66">
                  <c:v>5.7773109243697487</c:v>
                </c:pt>
                <c:pt idx="67">
                  <c:v>5.882352941176471</c:v>
                </c:pt>
                <c:pt idx="68">
                  <c:v>5.9873949579831942</c:v>
                </c:pt>
                <c:pt idx="69">
                  <c:v>6.0924369747899165</c:v>
                </c:pt>
                <c:pt idx="70">
                  <c:v>6.1974789915966397</c:v>
                </c:pt>
              </c:numCache>
            </c:numRef>
          </c:xVal>
          <c:yVal>
            <c:numRef>
              <c:f>[1]TRH8hP4!$O$12:$O$82</c:f>
              <c:numCache>
                <c:formatCode>General</c:formatCode>
                <c:ptCount val="71"/>
                <c:pt idx="0">
                  <c:v>0.23561136557007631</c:v>
                </c:pt>
                <c:pt idx="1">
                  <c:v>0.23852452754962455</c:v>
                </c:pt>
                <c:pt idx="2">
                  <c:v>0.24142130637115911</c:v>
                </c:pt>
                <c:pt idx="3">
                  <c:v>0.24430023817229746</c:v>
                </c:pt>
                <c:pt idx="4">
                  <c:v>0.2471598531629281</c:v>
                </c:pt>
                <c:pt idx="5">
                  <c:v>0.24999867683788846</c:v>
                </c:pt>
                <c:pt idx="6">
                  <c:v>0.25281523120911442</c:v>
                </c:pt>
                <c:pt idx="7">
                  <c:v>0.25560803605587717</c:v>
                </c:pt>
                <c:pt idx="8">
                  <c:v>0.25837561019167737</c:v>
                </c:pt>
                <c:pt idx="9">
                  <c:v>0.26111647274632588</c:v>
                </c:pt>
                <c:pt idx="10">
                  <c:v>0.26382914446170019</c:v>
                </c:pt>
                <c:pt idx="11">
                  <c:v>0.26651214899962938</c:v>
                </c:pt>
                <c:pt idx="12">
                  <c:v>0.26916401426032333</c:v>
                </c:pt>
                <c:pt idx="13">
                  <c:v>0.27436846771418161</c:v>
                </c:pt>
                <c:pt idx="14">
                  <c:v>0.27943086340084777</c:v>
                </c:pt>
                <c:pt idx="15">
                  <c:v>0.28433971327206375</c:v>
                </c:pt>
                <c:pt idx="16">
                  <c:v>0.28908372571615643</c:v>
                </c:pt>
                <c:pt idx="17">
                  <c:v>0.29365184853604898</c:v>
                </c:pt>
                <c:pt idx="18">
                  <c:v>0.29803331161577623</c:v>
                </c:pt>
                <c:pt idx="19">
                  <c:v>0.30423276764408613</c:v>
                </c:pt>
                <c:pt idx="20">
                  <c:v>0.30995515149710801</c:v>
                </c:pt>
                <c:pt idx="21">
                  <c:v>0.31516894648398602</c:v>
                </c:pt>
                <c:pt idx="22">
                  <c:v>0.31984507804895251</c:v>
                </c:pt>
                <c:pt idx="23">
                  <c:v>0.32395718355846753</c:v>
                </c:pt>
                <c:pt idx="24">
                  <c:v>0.32748185970797927</c:v>
                </c:pt>
                <c:pt idx="25">
                  <c:v>0.33039888430174624</c:v>
                </c:pt>
                <c:pt idx="26">
                  <c:v>0.33269140946622178</c:v>
                </c:pt>
                <c:pt idx="27">
                  <c:v>0.33434612371459721</c:v>
                </c:pt>
                <c:pt idx="28">
                  <c:v>0.33535338068154547</c:v>
                </c:pt>
                <c:pt idx="29">
                  <c:v>0.33570729278635197</c:v>
                </c:pt>
                <c:pt idx="30">
                  <c:v>0.33540578855205361</c:v>
                </c:pt>
                <c:pt idx="31">
                  <c:v>0.33398784760989186</c:v>
                </c:pt>
                <c:pt idx="32">
                  <c:v>0.33142302049789324</c:v>
                </c:pt>
                <c:pt idx="33">
                  <c:v>0.32773782838098303</c:v>
                </c:pt>
                <c:pt idx="34">
                  <c:v>0.3229701364620326</c:v>
                </c:pt>
                <c:pt idx="35">
                  <c:v>0.31716850632106958</c:v>
                </c:pt>
                <c:pt idx="36">
                  <c:v>0.31039137261571775</c:v>
                </c:pt>
                <c:pt idx="37">
                  <c:v>0.30270606365844249</c:v>
                </c:pt>
                <c:pt idx="38">
                  <c:v>0.29418768881741414</c:v>
                </c:pt>
                <c:pt idx="39">
                  <c:v>0.28491791842888803</c:v>
                </c:pt>
                <c:pt idx="40">
                  <c:v>0.269795665324915</c:v>
                </c:pt>
                <c:pt idx="41">
                  <c:v>0.25348772615723342</c:v>
                </c:pt>
                <c:pt idx="42">
                  <c:v>0.2363119405187375</c:v>
                </c:pt>
                <c:pt idx="43">
                  <c:v>0.21858540477272231</c:v>
                </c:pt>
                <c:pt idx="44">
                  <c:v>0.20061500676122451</c:v>
                </c:pt>
                <c:pt idx="45">
                  <c:v>0.18268901585167802</c:v>
                </c:pt>
                <c:pt idx="46">
                  <c:v>0.16507002559496178</c:v>
                </c:pt>
                <c:pt idx="47">
                  <c:v>0.14798945264394348</c:v>
                </c:pt>
                <c:pt idx="48">
                  <c:v>0.11619197749698373</c:v>
                </c:pt>
                <c:pt idx="49">
                  <c:v>8.8419605711138105E-2</c:v>
                </c:pt>
                <c:pt idx="50">
                  <c:v>6.5215083745738339E-2</c:v>
                </c:pt>
                <c:pt idx="51">
                  <c:v>4.6620249161975227E-2</c:v>
                </c:pt>
                <c:pt idx="52">
                  <c:v>3.2301907996254008E-2</c:v>
                </c:pt>
                <c:pt idx="53">
                  <c:v>2.1692460381754604E-2</c:v>
                </c:pt>
                <c:pt idx="54">
                  <c:v>1.4119408445286931E-2</c:v>
                </c:pt>
                <c:pt idx="55">
                  <c:v>8.9074058769923088E-3</c:v>
                </c:pt>
                <c:pt idx="56">
                  <c:v>5.446443889555415E-3</c:v>
                </c:pt>
                <c:pt idx="57">
                  <c:v>3.2277647710326658E-3</c:v>
                </c:pt>
                <c:pt idx="58">
                  <c:v>1.8540343334852135E-3</c:v>
                </c:pt>
                <c:pt idx="59">
                  <c:v>1.0321925469099786E-3</c:v>
                </c:pt>
                <c:pt idx="60">
                  <c:v>7.6118870706518027E-4</c:v>
                </c:pt>
                <c:pt idx="61">
                  <c:v>5.5696860670486291E-4</c:v>
                </c:pt>
                <c:pt idx="62">
                  <c:v>4.0436714381906878E-4</c:v>
                </c:pt>
                <c:pt idx="63">
                  <c:v>2.9129146973267707E-4</c:v>
                </c:pt>
                <c:pt idx="64">
                  <c:v>2.0820273778994781E-4</c:v>
                </c:pt>
                <c:pt idx="65">
                  <c:v>1.4765626142983841E-4</c:v>
                </c:pt>
                <c:pt idx="66">
                  <c:v>1.0390203727981301E-4</c:v>
                </c:pt>
                <c:pt idx="67">
                  <c:v>7.2544254336432478E-5</c:v>
                </c:pt>
                <c:pt idx="68">
                  <c:v>5.0256095214732889E-5</c:v>
                </c:pt>
                <c:pt idx="69">
                  <c:v>3.4544684100607339E-5</c:v>
                </c:pt>
                <c:pt idx="70">
                  <c:v>2.3560281338651568E-5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0D74-4EB7-9DAD-1D498311CE76}"/>
            </c:ext>
          </c:extLst>
        </c:ser>
        <c:ser>
          <c:idx val="3"/>
          <c:order val="3"/>
          <c:tx>
            <c:v>PD</c:v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[1]TRH8hP4!$L$12:$L$82</c:f>
              <c:numCache>
                <c:formatCode>General</c:formatCode>
                <c:ptCount val="71"/>
                <c:pt idx="0">
                  <c:v>0</c:v>
                </c:pt>
                <c:pt idx="1">
                  <c:v>1.7507002801120452E-2</c:v>
                </c:pt>
                <c:pt idx="2">
                  <c:v>3.5014005602240904E-2</c:v>
                </c:pt>
                <c:pt idx="3">
                  <c:v>5.2521008403361352E-2</c:v>
                </c:pt>
                <c:pt idx="4">
                  <c:v>7.0028011204481808E-2</c:v>
                </c:pt>
                <c:pt idx="5">
                  <c:v>8.7535014005602249E-2</c:v>
                </c:pt>
                <c:pt idx="6">
                  <c:v>0.1050420168067227</c:v>
                </c:pt>
                <c:pt idx="7">
                  <c:v>0.12254901960784315</c:v>
                </c:pt>
                <c:pt idx="8">
                  <c:v>0.14005602240896362</c:v>
                </c:pt>
                <c:pt idx="9">
                  <c:v>0.15756302521008406</c:v>
                </c:pt>
                <c:pt idx="10">
                  <c:v>0.1750700280112045</c:v>
                </c:pt>
                <c:pt idx="11">
                  <c:v>0.19257703081232494</c:v>
                </c:pt>
                <c:pt idx="12">
                  <c:v>0.21008403361344541</c:v>
                </c:pt>
                <c:pt idx="13">
                  <c:v>0.24509803921568629</c:v>
                </c:pt>
                <c:pt idx="14">
                  <c:v>0.28011204481792723</c:v>
                </c:pt>
                <c:pt idx="15">
                  <c:v>0.31512605042016811</c:v>
                </c:pt>
                <c:pt idx="16">
                  <c:v>0.350140056022409</c:v>
                </c:pt>
                <c:pt idx="17">
                  <c:v>0.38515406162464988</c:v>
                </c:pt>
                <c:pt idx="18">
                  <c:v>0.42016806722689082</c:v>
                </c:pt>
                <c:pt idx="19">
                  <c:v>0.47268907563025214</c:v>
                </c:pt>
                <c:pt idx="20">
                  <c:v>0.52521008403361347</c:v>
                </c:pt>
                <c:pt idx="21">
                  <c:v>0.57773109243697485</c:v>
                </c:pt>
                <c:pt idx="22">
                  <c:v>0.63025210084033623</c:v>
                </c:pt>
                <c:pt idx="23">
                  <c:v>0.68277310924369761</c:v>
                </c:pt>
                <c:pt idx="24">
                  <c:v>0.73529411764705888</c:v>
                </c:pt>
                <c:pt idx="25">
                  <c:v>0.78781512605042026</c:v>
                </c:pt>
                <c:pt idx="26">
                  <c:v>0.84033613445378164</c:v>
                </c:pt>
                <c:pt idx="27">
                  <c:v>0.89285714285714302</c:v>
                </c:pt>
                <c:pt idx="28">
                  <c:v>0.94537815126050428</c:v>
                </c:pt>
                <c:pt idx="29">
                  <c:v>0.99789915966386566</c:v>
                </c:pt>
                <c:pt idx="30">
                  <c:v>1.0504201680672269</c:v>
                </c:pt>
                <c:pt idx="31">
                  <c:v>1.1204481792717089</c:v>
                </c:pt>
                <c:pt idx="32">
                  <c:v>1.1904761904761907</c:v>
                </c:pt>
                <c:pt idx="33">
                  <c:v>1.2605042016806725</c:v>
                </c:pt>
                <c:pt idx="34">
                  <c:v>1.3305322128851542</c:v>
                </c:pt>
                <c:pt idx="35">
                  <c:v>1.400560224089636</c:v>
                </c:pt>
                <c:pt idx="36">
                  <c:v>1.4705882352941178</c:v>
                </c:pt>
                <c:pt idx="37">
                  <c:v>1.5406162464985995</c:v>
                </c:pt>
                <c:pt idx="38">
                  <c:v>1.6106442577030815</c:v>
                </c:pt>
                <c:pt idx="39">
                  <c:v>1.6806722689075633</c:v>
                </c:pt>
                <c:pt idx="40">
                  <c:v>1.785714285714286</c:v>
                </c:pt>
                <c:pt idx="41">
                  <c:v>1.8907563025210086</c:v>
                </c:pt>
                <c:pt idx="42">
                  <c:v>1.9957983193277313</c:v>
                </c:pt>
                <c:pt idx="43">
                  <c:v>2.1008403361344539</c:v>
                </c:pt>
                <c:pt idx="44">
                  <c:v>2.2058823529411766</c:v>
                </c:pt>
                <c:pt idx="45">
                  <c:v>2.3109243697478994</c:v>
                </c:pt>
                <c:pt idx="46">
                  <c:v>2.4159663865546221</c:v>
                </c:pt>
                <c:pt idx="47">
                  <c:v>2.5210084033613449</c:v>
                </c:pt>
                <c:pt idx="48">
                  <c:v>2.7310924369747904</c:v>
                </c:pt>
                <c:pt idx="49">
                  <c:v>2.9411764705882355</c:v>
                </c:pt>
                <c:pt idx="50">
                  <c:v>3.151260504201681</c:v>
                </c:pt>
                <c:pt idx="51">
                  <c:v>3.3613445378151265</c:v>
                </c:pt>
                <c:pt idx="52">
                  <c:v>3.5714285714285721</c:v>
                </c:pt>
                <c:pt idx="53">
                  <c:v>3.7815126050420171</c:v>
                </c:pt>
                <c:pt idx="54">
                  <c:v>3.9915966386554627</c:v>
                </c:pt>
                <c:pt idx="55">
                  <c:v>4.2016806722689077</c:v>
                </c:pt>
                <c:pt idx="56">
                  <c:v>4.4117647058823533</c:v>
                </c:pt>
                <c:pt idx="57">
                  <c:v>4.6218487394957988</c:v>
                </c:pt>
                <c:pt idx="58">
                  <c:v>4.8319327731092443</c:v>
                </c:pt>
                <c:pt idx="59">
                  <c:v>5.0420168067226898</c:v>
                </c:pt>
                <c:pt idx="60">
                  <c:v>5.1470588235294121</c:v>
                </c:pt>
                <c:pt idx="61">
                  <c:v>5.2521008403361353</c:v>
                </c:pt>
                <c:pt idx="62">
                  <c:v>5.3571428571428577</c:v>
                </c:pt>
                <c:pt idx="63">
                  <c:v>5.4621848739495809</c:v>
                </c:pt>
                <c:pt idx="64">
                  <c:v>5.5672268907563032</c:v>
                </c:pt>
                <c:pt idx="65">
                  <c:v>5.6722689075630255</c:v>
                </c:pt>
                <c:pt idx="66">
                  <c:v>5.7773109243697487</c:v>
                </c:pt>
                <c:pt idx="67">
                  <c:v>5.882352941176471</c:v>
                </c:pt>
                <c:pt idx="68">
                  <c:v>5.9873949579831942</c:v>
                </c:pt>
                <c:pt idx="69">
                  <c:v>6.0924369747899165</c:v>
                </c:pt>
                <c:pt idx="70">
                  <c:v>6.1974789915966397</c:v>
                </c:pt>
              </c:numCache>
            </c:numRef>
          </c:xVal>
          <c:yVal>
            <c:numRef>
              <c:f>[1]TRH8hP4!$N$12:$N$82</c:f>
              <c:numCache>
                <c:formatCode>General</c:formatCode>
                <c:ptCount val="71"/>
                <c:pt idx="0">
                  <c:v>0.22993949272398209</c:v>
                </c:pt>
                <c:pt idx="1">
                  <c:v>0.23609395251564258</c:v>
                </c:pt>
                <c:pt idx="2">
                  <c:v>0.24230007881313956</c:v>
                </c:pt>
                <c:pt idx="3">
                  <c:v>0.24855336461670088</c:v>
                </c:pt>
                <c:pt idx="4">
                  <c:v>0.25484911870681493</c:v>
                </c:pt>
                <c:pt idx="5">
                  <c:v>0.26118246975394283</c:v>
                </c:pt>
                <c:pt idx="6">
                  <c:v>0.26754837095856898</c:v>
                </c:pt>
                <c:pt idx="7">
                  <c:v>0.27394160522187416</c:v>
                </c:pt>
                <c:pt idx="8">
                  <c:v>0.28035679084557186</c:v>
                </c:pt>
                <c:pt idx="9">
                  <c:v>0.28678838775766086</c:v>
                </c:pt>
                <c:pt idx="10">
                  <c:v>0.29323070425903525</c:v>
                </c:pt>
                <c:pt idx="11">
                  <c:v>0.29967790428405089</c:v>
                </c:pt>
                <c:pt idx="12">
                  <c:v>0.30612401516629179</c:v>
                </c:pt>
                <c:pt idx="13">
                  <c:v>0.31898844587707581</c:v>
                </c:pt>
                <c:pt idx="14">
                  <c:v>0.3317738088731802</c:v>
                </c:pt>
                <c:pt idx="15">
                  <c:v>0.34442830848445904</c:v>
                </c:pt>
                <c:pt idx="16">
                  <c:v>0.35689887022316269</c:v>
                </c:pt>
                <c:pt idx="17">
                  <c:v>0.36913149513108745</c:v>
                </c:pt>
                <c:pt idx="18">
                  <c:v>0.38107163605838318</c:v>
                </c:pt>
                <c:pt idx="19">
                  <c:v>0.39831384091761401</c:v>
                </c:pt>
                <c:pt idx="20">
                  <c:v>0.41459184774509866</c:v>
                </c:pt>
                <c:pt idx="21">
                  <c:v>0.42972706324304288</c:v>
                </c:pt>
                <c:pt idx="22">
                  <c:v>0.44354862745095253</c:v>
                </c:pt>
                <c:pt idx="23">
                  <c:v>0.4558966079373365</c:v>
                </c:pt>
                <c:pt idx="24">
                  <c:v>0.46662507104837003</c:v>
                </c:pt>
                <c:pt idx="25">
                  <c:v>0.475604948019892</c:v>
                </c:pt>
                <c:pt idx="26">
                  <c:v>0.48272661738623918</c:v>
                </c:pt>
                <c:pt idx="27">
                  <c:v>0.4879021315067894</c:v>
                </c:pt>
                <c:pt idx="28">
                  <c:v>0.49106702400654234</c:v>
                </c:pt>
                <c:pt idx="29">
                  <c:v>0.49218164620529831</c:v>
                </c:pt>
                <c:pt idx="30">
                  <c:v>0.49123199380331389</c:v>
                </c:pt>
                <c:pt idx="31">
                  <c:v>0.48677903372938525</c:v>
                </c:pt>
                <c:pt idx="32">
                  <c:v>0.47877940518874118</c:v>
                </c:pt>
                <c:pt idx="33">
                  <c:v>0.46740939149408778</c:v>
                </c:pt>
                <c:pt idx="34">
                  <c:v>0.4529161266136586</c:v>
                </c:pt>
                <c:pt idx="35">
                  <c:v>0.43560866659500563</c:v>
                </c:pt>
                <c:pt idx="36">
                  <c:v>0.41584704098324304</c:v>
                </c:pt>
                <c:pt idx="37">
                  <c:v>0.39402982547538684</c:v>
                </c:pt>
                <c:pt idx="38">
                  <c:v>0.37058083361704058</c:v>
                </c:pt>
                <c:pt idx="39">
                  <c:v>0.34593554511487307</c:v>
                </c:pt>
                <c:pt idx="40">
                  <c:v>0.30767024445886804</c:v>
                </c:pt>
                <c:pt idx="41">
                  <c:v>0.26908045458969326</c:v>
                </c:pt>
                <c:pt idx="42">
                  <c:v>0.23141161684955788</c:v>
                </c:pt>
                <c:pt idx="43">
                  <c:v>0.19570165960314409</c:v>
                </c:pt>
                <c:pt idx="44">
                  <c:v>0.16274595697149188</c:v>
                </c:pt>
                <c:pt idx="45">
                  <c:v>0.13308596440027617</c:v>
                </c:pt>
                <c:pt idx="46">
                  <c:v>0.10701894160573143</c:v>
                </c:pt>
                <c:pt idx="47">
                  <c:v>8.4624359571063554E-2</c:v>
                </c:pt>
                <c:pt idx="48">
                  <c:v>5.031343001992751E-2</c:v>
                </c:pt>
                <c:pt idx="49">
                  <c:v>2.7970346568413573E-2</c:v>
                </c:pt>
                <c:pt idx="50">
                  <c:v>1.4539087864521526E-2</c:v>
                </c:pt>
                <c:pt idx="51">
                  <c:v>7.0664593704074892E-3</c:v>
                </c:pt>
                <c:pt idx="52">
                  <c:v>3.2113819565967681E-3</c:v>
                </c:pt>
                <c:pt idx="53">
                  <c:v>1.3646065487314329E-3</c:v>
                </c:pt>
                <c:pt idx="54">
                  <c:v>5.4218603940183027E-4</c:v>
                </c:pt>
                <c:pt idx="55">
                  <c:v>2.0142557038876273E-4</c:v>
                </c:pt>
                <c:pt idx="56">
                  <c:v>6.996909633523091E-5</c:v>
                </c:pt>
                <c:pt idx="57">
                  <c:v>2.2726016586011324E-5</c:v>
                </c:pt>
                <c:pt idx="58">
                  <c:v>6.901853953745384E-6</c:v>
                </c:pt>
                <c:pt idx="59">
                  <c:v>1.9598985997136547E-6</c:v>
                </c:pt>
                <c:pt idx="60">
                  <c:v>1.0184202899409571E-6</c:v>
                </c:pt>
                <c:pt idx="61">
                  <c:v>5.2038747072615795E-7</c:v>
                </c:pt>
                <c:pt idx="62">
                  <c:v>2.614766835257593E-7</c:v>
                </c:pt>
                <c:pt idx="63">
                  <c:v>1.2919492438597767E-7</c:v>
                </c:pt>
                <c:pt idx="64">
                  <c:v>6.2771756901719634E-8</c:v>
                </c:pt>
                <c:pt idx="65">
                  <c:v>2.9990897610149712E-8</c:v>
                </c:pt>
                <c:pt idx="66">
                  <c:v>1.4090324401476612E-8</c:v>
                </c:pt>
                <c:pt idx="67">
                  <c:v>6.5096684206794237E-9</c:v>
                </c:pt>
                <c:pt idx="68">
                  <c:v>2.9573524879670122E-9</c:v>
                </c:pt>
                <c:pt idx="69">
                  <c:v>1.3211546657280187E-9</c:v>
                </c:pt>
                <c:pt idx="70">
                  <c:v>5.8037751978557807E-10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0D74-4EB7-9DAD-1D498311CE76}"/>
            </c:ext>
          </c:extLst>
        </c:ser>
        <c:ser>
          <c:idx val="4"/>
          <c:order val="4"/>
          <c:tx>
            <c:v>RA</c:v>
          </c:tx>
          <c:spPr>
            <a:ln w="12700">
              <a:solidFill>
                <a:srgbClr val="0000CC"/>
              </a:solidFill>
            </a:ln>
          </c:spPr>
          <c:marker>
            <c:symbol val="star"/>
            <c:size val="3"/>
            <c:spPr>
              <a:ln>
                <a:solidFill>
                  <a:srgbClr val="0000CC"/>
                </a:solidFill>
              </a:ln>
            </c:spPr>
          </c:marker>
          <c:xVal>
            <c:numRef>
              <c:f>[1]TRH8hP4!$L$12:$L$82</c:f>
              <c:numCache>
                <c:formatCode>General</c:formatCode>
                <c:ptCount val="71"/>
                <c:pt idx="0">
                  <c:v>0</c:v>
                </c:pt>
                <c:pt idx="1">
                  <c:v>1.7507002801120452E-2</c:v>
                </c:pt>
                <c:pt idx="2">
                  <c:v>3.5014005602240904E-2</c:v>
                </c:pt>
                <c:pt idx="3">
                  <c:v>5.2521008403361352E-2</c:v>
                </c:pt>
                <c:pt idx="4">
                  <c:v>7.0028011204481808E-2</c:v>
                </c:pt>
                <c:pt idx="5">
                  <c:v>8.7535014005602249E-2</c:v>
                </c:pt>
                <c:pt idx="6">
                  <c:v>0.1050420168067227</c:v>
                </c:pt>
                <c:pt idx="7">
                  <c:v>0.12254901960784315</c:v>
                </c:pt>
                <c:pt idx="8">
                  <c:v>0.14005602240896362</c:v>
                </c:pt>
                <c:pt idx="9">
                  <c:v>0.15756302521008406</c:v>
                </c:pt>
                <c:pt idx="10">
                  <c:v>0.1750700280112045</c:v>
                </c:pt>
                <c:pt idx="11">
                  <c:v>0.19257703081232494</c:v>
                </c:pt>
                <c:pt idx="12">
                  <c:v>0.21008403361344541</c:v>
                </c:pt>
                <c:pt idx="13">
                  <c:v>0.24509803921568629</c:v>
                </c:pt>
                <c:pt idx="14">
                  <c:v>0.28011204481792723</c:v>
                </c:pt>
                <c:pt idx="15">
                  <c:v>0.31512605042016811</c:v>
                </c:pt>
                <c:pt idx="16">
                  <c:v>0.350140056022409</c:v>
                </c:pt>
                <c:pt idx="17">
                  <c:v>0.38515406162464988</c:v>
                </c:pt>
                <c:pt idx="18">
                  <c:v>0.42016806722689082</c:v>
                </c:pt>
                <c:pt idx="19">
                  <c:v>0.47268907563025214</c:v>
                </c:pt>
                <c:pt idx="20">
                  <c:v>0.52521008403361347</c:v>
                </c:pt>
                <c:pt idx="21">
                  <c:v>0.57773109243697485</c:v>
                </c:pt>
                <c:pt idx="22">
                  <c:v>0.63025210084033623</c:v>
                </c:pt>
                <c:pt idx="23">
                  <c:v>0.68277310924369761</c:v>
                </c:pt>
                <c:pt idx="24">
                  <c:v>0.73529411764705888</c:v>
                </c:pt>
                <c:pt idx="25">
                  <c:v>0.78781512605042026</c:v>
                </c:pt>
                <c:pt idx="26">
                  <c:v>0.84033613445378164</c:v>
                </c:pt>
                <c:pt idx="27">
                  <c:v>0.89285714285714302</c:v>
                </c:pt>
                <c:pt idx="28">
                  <c:v>0.94537815126050428</c:v>
                </c:pt>
                <c:pt idx="29">
                  <c:v>0.99789915966386566</c:v>
                </c:pt>
                <c:pt idx="30">
                  <c:v>1.0504201680672269</c:v>
                </c:pt>
                <c:pt idx="31">
                  <c:v>1.1204481792717089</c:v>
                </c:pt>
                <c:pt idx="32">
                  <c:v>1.1904761904761907</c:v>
                </c:pt>
                <c:pt idx="33">
                  <c:v>1.2605042016806725</c:v>
                </c:pt>
                <c:pt idx="34">
                  <c:v>1.3305322128851542</c:v>
                </c:pt>
                <c:pt idx="35">
                  <c:v>1.400560224089636</c:v>
                </c:pt>
                <c:pt idx="36">
                  <c:v>1.4705882352941178</c:v>
                </c:pt>
                <c:pt idx="37">
                  <c:v>1.5406162464985995</c:v>
                </c:pt>
                <c:pt idx="38">
                  <c:v>1.6106442577030815</c:v>
                </c:pt>
                <c:pt idx="39">
                  <c:v>1.6806722689075633</c:v>
                </c:pt>
                <c:pt idx="40">
                  <c:v>1.785714285714286</c:v>
                </c:pt>
                <c:pt idx="41">
                  <c:v>1.8907563025210086</c:v>
                </c:pt>
                <c:pt idx="42">
                  <c:v>1.9957983193277313</c:v>
                </c:pt>
                <c:pt idx="43">
                  <c:v>2.1008403361344539</c:v>
                </c:pt>
                <c:pt idx="44">
                  <c:v>2.2058823529411766</c:v>
                </c:pt>
                <c:pt idx="45">
                  <c:v>2.3109243697478994</c:v>
                </c:pt>
                <c:pt idx="46">
                  <c:v>2.4159663865546221</c:v>
                </c:pt>
                <c:pt idx="47">
                  <c:v>2.5210084033613449</c:v>
                </c:pt>
                <c:pt idx="48">
                  <c:v>2.7310924369747904</c:v>
                </c:pt>
                <c:pt idx="49">
                  <c:v>2.9411764705882355</c:v>
                </c:pt>
                <c:pt idx="50">
                  <c:v>3.151260504201681</c:v>
                </c:pt>
                <c:pt idx="51">
                  <c:v>3.3613445378151265</c:v>
                </c:pt>
                <c:pt idx="52">
                  <c:v>3.5714285714285721</c:v>
                </c:pt>
                <c:pt idx="53">
                  <c:v>3.7815126050420171</c:v>
                </c:pt>
                <c:pt idx="54">
                  <c:v>3.9915966386554627</c:v>
                </c:pt>
                <c:pt idx="55">
                  <c:v>4.2016806722689077</c:v>
                </c:pt>
                <c:pt idx="56">
                  <c:v>4.4117647058823533</c:v>
                </c:pt>
                <c:pt idx="57">
                  <c:v>4.6218487394957988</c:v>
                </c:pt>
                <c:pt idx="58">
                  <c:v>4.8319327731092443</c:v>
                </c:pt>
                <c:pt idx="59">
                  <c:v>5.0420168067226898</c:v>
                </c:pt>
                <c:pt idx="60">
                  <c:v>5.1470588235294121</c:v>
                </c:pt>
                <c:pt idx="61">
                  <c:v>5.2521008403361353</c:v>
                </c:pt>
                <c:pt idx="62">
                  <c:v>5.3571428571428577</c:v>
                </c:pt>
                <c:pt idx="63">
                  <c:v>5.4621848739495809</c:v>
                </c:pt>
                <c:pt idx="64">
                  <c:v>5.5672268907563032</c:v>
                </c:pt>
                <c:pt idx="65">
                  <c:v>5.6722689075630255</c:v>
                </c:pt>
                <c:pt idx="66">
                  <c:v>5.7773109243697487</c:v>
                </c:pt>
                <c:pt idx="67">
                  <c:v>5.882352941176471</c:v>
                </c:pt>
                <c:pt idx="68">
                  <c:v>5.9873949579831942</c:v>
                </c:pt>
                <c:pt idx="69">
                  <c:v>6.0924369747899165</c:v>
                </c:pt>
                <c:pt idx="70">
                  <c:v>6.1974789915966397</c:v>
                </c:pt>
              </c:numCache>
            </c:numRef>
          </c:xVal>
          <c:yVal>
            <c:numRef>
              <c:f>[1]TRH8hP4!$P$13:$P$82</c:f>
              <c:numCache>
                <c:formatCode>General</c:formatCode>
                <c:ptCount val="70"/>
                <c:pt idx="0">
                  <c:v>6.043724453004786E-32</c:v>
                </c:pt>
                <c:pt idx="1">
                  <c:v>1.4118085568974917E-15</c:v>
                </c:pt>
                <c:pt idx="2">
                  <c:v>3.6416994861441321E-10</c:v>
                </c:pt>
                <c:pt idx="3">
                  <c:v>1.7520867458404608E-7</c:v>
                </c:pt>
                <c:pt idx="4">
                  <c:v>6.8846242583697797E-6</c:v>
                </c:pt>
                <c:pt idx="5">
                  <c:v>7.7642346725293089E-5</c:v>
                </c:pt>
                <c:pt idx="6">
                  <c:v>4.3012426434245915E-4</c:v>
                </c:pt>
                <c:pt idx="7">
                  <c:v>1.5303523517914044E-3</c:v>
                </c:pt>
                <c:pt idx="8">
                  <c:v>4.0571882688904591E-3</c:v>
                </c:pt>
                <c:pt idx="9">
                  <c:v>8.7604813136705553E-3</c:v>
                </c:pt>
                <c:pt idx="10">
                  <c:v>1.6301548495066105E-2</c:v>
                </c:pt>
                <c:pt idx="11">
                  <c:v>2.7142108216909631E-2</c:v>
                </c:pt>
                <c:pt idx="12">
                  <c:v>5.9354854042664613E-2</c:v>
                </c:pt>
                <c:pt idx="13">
                  <c:v>0.10455834903601208</c:v>
                </c:pt>
                <c:pt idx="14">
                  <c:v>0.15962068337137703</c:v>
                </c:pt>
                <c:pt idx="15">
                  <c:v>0.22059868168551555</c:v>
                </c:pt>
                <c:pt idx="16">
                  <c:v>0.28373107539493797</c:v>
                </c:pt>
                <c:pt idx="17">
                  <c:v>0.3459145572229263</c:v>
                </c:pt>
                <c:pt idx="18">
                  <c:v>0.43255705766192187</c:v>
                </c:pt>
                <c:pt idx="19">
                  <c:v>0.50723125151647575</c:v>
                </c:pt>
                <c:pt idx="20">
                  <c:v>0.56792314517675946</c:v>
                </c:pt>
                <c:pt idx="21">
                  <c:v>0.61443948459046094</c:v>
                </c:pt>
                <c:pt idx="22">
                  <c:v>0.64764758969458003</c:v>
                </c:pt>
                <c:pt idx="23">
                  <c:v>0.66895370833144474</c:v>
                </c:pt>
                <c:pt idx="24">
                  <c:v>0.67997238905424962</c:v>
                </c:pt>
                <c:pt idx="25">
                  <c:v>0.68233015752008253</c:v>
                </c:pt>
                <c:pt idx="26">
                  <c:v>0.6775573719276361</c:v>
                </c:pt>
                <c:pt idx="27">
                  <c:v>0.6670353752429149</c:v>
                </c:pt>
                <c:pt idx="28">
                  <c:v>0.65197696961898022</c:v>
                </c:pt>
                <c:pt idx="29">
                  <c:v>0.63342608434252401</c:v>
                </c:pt>
                <c:pt idx="30">
                  <c:v>0.6047675615836805</c:v>
                </c:pt>
                <c:pt idx="31">
                  <c:v>0.57316501163901568</c:v>
                </c:pt>
                <c:pt idx="32">
                  <c:v>0.53994246686367031</c:v>
                </c:pt>
                <c:pt idx="33">
                  <c:v>0.50610841659783279</c:v>
                </c:pt>
                <c:pt idx="34">
                  <c:v>0.47241692214934539</c:v>
                </c:pt>
                <c:pt idx="35">
                  <c:v>0.43941973885823854</c:v>
                </c:pt>
                <c:pt idx="36">
                  <c:v>0.40750952885465852</c:v>
                </c:pt>
                <c:pt idx="37">
                  <c:v>0.37695504075513403</c:v>
                </c:pt>
                <c:pt idx="38">
                  <c:v>0.34792939618889052</c:v>
                </c:pt>
                <c:pt idx="39">
                  <c:v>0.30746082757503845</c:v>
                </c:pt>
                <c:pt idx="40">
                  <c:v>0.27076370042327969</c:v>
                </c:pt>
                <c:pt idx="41">
                  <c:v>0.23777544875103468</c:v>
                </c:pt>
                <c:pt idx="42">
                  <c:v>0.20832188881026997</c:v>
                </c:pt>
                <c:pt idx="43">
                  <c:v>0.18216522235132249</c:v>
                </c:pt>
                <c:pt idx="44">
                  <c:v>0.15903635421831963</c:v>
                </c:pt>
                <c:pt idx="45">
                  <c:v>0.13865624868909218</c:v>
                </c:pt>
                <c:pt idx="46">
                  <c:v>0.12074967219214133</c:v>
                </c:pt>
                <c:pt idx="47">
                  <c:v>9.1322533722130311E-2</c:v>
                </c:pt>
                <c:pt idx="48">
                  <c:v>6.8870921921384692E-2</c:v>
                </c:pt>
                <c:pt idx="49">
                  <c:v>5.1830615166489478E-2</c:v>
                </c:pt>
                <c:pt idx="50">
                  <c:v>3.8946127980955793E-2</c:v>
                </c:pt>
                <c:pt idx="51">
                  <c:v>2.9230866142067775E-2</c:v>
                </c:pt>
                <c:pt idx="52">
                  <c:v>2.1920295816511035E-2</c:v>
                </c:pt>
                <c:pt idx="53">
                  <c:v>1.6427622685865124E-2</c:v>
                </c:pt>
                <c:pt idx="54">
                  <c:v>1.2305517032731394E-2</c:v>
                </c:pt>
                <c:pt idx="55">
                  <c:v>9.2146346568320464E-3</c:v>
                </c:pt>
                <c:pt idx="56">
                  <c:v>6.8984741924974155E-3</c:v>
                </c:pt>
                <c:pt idx="57">
                  <c:v>5.1636710820508651E-3</c:v>
                </c:pt>
                <c:pt idx="58">
                  <c:v>3.8647488283722027E-3</c:v>
                </c:pt>
                <c:pt idx="59">
                  <c:v>3.3434380474152785E-3</c:v>
                </c:pt>
                <c:pt idx="60">
                  <c:v>2.8924245771173042E-3</c:v>
                </c:pt>
                <c:pt idx="61">
                  <c:v>2.5022430496383966E-3</c:v>
                </c:pt>
                <c:pt idx="62">
                  <c:v>2.1646981179587669E-3</c:v>
                </c:pt>
                <c:pt idx="63">
                  <c:v>1.8726952527816593E-3</c:v>
                </c:pt>
                <c:pt idx="64">
                  <c:v>1.6200937783606355E-3</c:v>
                </c:pt>
                <c:pt idx="65">
                  <c:v>1.4015792994555238E-3</c:v>
                </c:pt>
                <c:pt idx="66">
                  <c:v>1.2125530176227014E-3</c:v>
                </c:pt>
                <c:pt idx="67">
                  <c:v>1.0490357437770036E-3</c:v>
                </c:pt>
                <c:pt idx="68">
                  <c:v>9.0758468814685126E-4</c:v>
                </c:pt>
                <c:pt idx="69">
                  <c:v>7.8522135130220511E-4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0D74-4EB7-9DAD-1D498311C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27891536"/>
        <c:axId val="-1827887728"/>
      </c:scatterChart>
      <c:valAx>
        <c:axId val="-1827891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CO" b="1" i="0" baseline="0"/>
                </a:pPr>
                <a:r>
                  <a:rPr lang="el-GR" b="1" i="0" baseline="0"/>
                  <a:t>θ =(</a:t>
                </a:r>
                <a:r>
                  <a:rPr lang="es-CO" b="1" i="0" baseline="0"/>
                  <a:t>t/TRHt)</a:t>
                </a:r>
              </a:p>
            </c:rich>
          </c:tx>
          <c:layout>
            <c:manualLayout>
              <c:xMode val="edge"/>
              <c:yMode val="edge"/>
              <c:x val="0.37836401244547485"/>
              <c:y val="0.934307780492932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MX"/>
          </a:p>
        </c:txPr>
        <c:crossAx val="-1827887728"/>
        <c:crosses val="autoZero"/>
        <c:crossBetween val="midCat"/>
      </c:valAx>
      <c:valAx>
        <c:axId val="-182788772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CO" b="1" i="0" baseline="0"/>
                </a:pPr>
                <a:r>
                  <a:rPr lang="es-CO" b="1" i="0" baseline="0"/>
                  <a:t>E(</a:t>
                </a:r>
                <a:r>
                  <a:rPr lang="el-GR" b="1" i="0" baseline="0"/>
                  <a:t>θ)</a:t>
                </a:r>
              </a:p>
            </c:rich>
          </c:tx>
          <c:layout>
            <c:manualLayout>
              <c:xMode val="edge"/>
              <c:yMode val="edge"/>
              <c:x val="2.888095113938572E-2"/>
              <c:y val="0.367696322442453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/>
            </a:pPr>
            <a:endParaRPr lang="es-MX"/>
          </a:p>
        </c:txPr>
        <c:crossAx val="-182789153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1853668457005789"/>
          <c:y val="0.83597882161283243"/>
          <c:w val="0.77148667674820004"/>
          <c:h val="5.8946812682897365E-2"/>
        </c:manualLayout>
      </c:layout>
      <c:overlay val="0"/>
      <c:txPr>
        <a:bodyPr/>
        <a:lstStyle/>
        <a:p>
          <a:pPr>
            <a:defRPr lang="es-CO"/>
          </a:pPr>
          <a:endParaRPr lang="es-MX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ahoma" pitchFamily="34" charset="0"/>
          <a:ea typeface="Arial"/>
          <a:cs typeface="Arial"/>
        </a:defRPr>
      </a:pPr>
      <a:endParaRPr lang="es-MX"/>
    </a:p>
  </c:txPr>
  <c:printSettings>
    <c:headerFooter alignWithMargins="0"/>
    <c:pageMargins b="1" l="0.75000000000001465" r="0.75000000000001465" t="1" header="0" footer="0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CO"/>
            </a:pPr>
            <a:r>
              <a:rPr lang="es-MX"/>
              <a:t>TRH 8 h. Punto 4</a:t>
            </a:r>
          </a:p>
        </c:rich>
      </c:tx>
      <c:layout>
        <c:manualLayout>
          <c:xMode val="edge"/>
          <c:yMode val="edge"/>
          <c:x val="0.31227425214232335"/>
          <c:y val="3.38027574139444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451606737435244"/>
          <c:y val="0.13000707756175023"/>
          <c:w val="0.77272000857796863"/>
          <c:h val="0.61817756793049972"/>
        </c:manualLayout>
      </c:layout>
      <c:scatterChart>
        <c:scatterStyle val="lineMarker"/>
        <c:varyColors val="0"/>
        <c:ser>
          <c:idx val="4"/>
          <c:order val="0"/>
          <c:spPr>
            <a:ln w="12700">
              <a:solidFill>
                <a:srgbClr val="0000CC"/>
              </a:solidFill>
            </a:ln>
          </c:spPr>
          <c:marker>
            <c:symbol val="star"/>
            <c:size val="3"/>
            <c:spPr>
              <a:ln>
                <a:solidFill>
                  <a:srgbClr val="0000CC"/>
                </a:solidFill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  <c:txPr>
                <a:bodyPr/>
                <a:lstStyle/>
                <a:p>
                  <a:pPr>
                    <a:defRPr lang="es-CO"/>
                  </a:pPr>
                  <a:endParaRPr lang="es-MX"/>
                </a:p>
              </c:txPr>
            </c:trendlineLbl>
          </c:trendline>
          <c:trendline>
            <c:trendlineType val="linear"/>
            <c:dispRSqr val="1"/>
            <c:dispEq val="1"/>
            <c:trendlineLbl>
              <c:numFmt formatCode="General" sourceLinked="0"/>
              <c:txPr>
                <a:bodyPr/>
                <a:lstStyle/>
                <a:p>
                  <a:pPr>
                    <a:defRPr lang="es-CO"/>
                  </a:pPr>
                  <a:endParaRPr lang="es-MX"/>
                </a:p>
              </c:txPr>
            </c:trendlineLbl>
          </c:trendline>
          <c:xVal>
            <c:numRef>
              <c:f>[1]TRH8hP4!$L$19:$L$71</c:f>
              <c:numCache>
                <c:formatCode>General</c:formatCode>
                <c:ptCount val="53"/>
                <c:pt idx="0">
                  <c:v>0.12254901960784315</c:v>
                </c:pt>
                <c:pt idx="1">
                  <c:v>0.14005602240896362</c:v>
                </c:pt>
                <c:pt idx="2">
                  <c:v>0.15756302521008406</c:v>
                </c:pt>
                <c:pt idx="3">
                  <c:v>0.1750700280112045</c:v>
                </c:pt>
                <c:pt idx="4">
                  <c:v>0.19257703081232494</c:v>
                </c:pt>
                <c:pt idx="5">
                  <c:v>0.21008403361344541</c:v>
                </c:pt>
                <c:pt idx="6">
                  <c:v>0.24509803921568629</c:v>
                </c:pt>
                <c:pt idx="7">
                  <c:v>0.28011204481792723</c:v>
                </c:pt>
                <c:pt idx="8">
                  <c:v>0.31512605042016811</c:v>
                </c:pt>
                <c:pt idx="9">
                  <c:v>0.350140056022409</c:v>
                </c:pt>
                <c:pt idx="10">
                  <c:v>0.38515406162464988</c:v>
                </c:pt>
                <c:pt idx="11">
                  <c:v>0.42016806722689082</c:v>
                </c:pt>
                <c:pt idx="12">
                  <c:v>0.47268907563025214</c:v>
                </c:pt>
                <c:pt idx="13">
                  <c:v>0.52521008403361347</c:v>
                </c:pt>
                <c:pt idx="14">
                  <c:v>0.57773109243697485</c:v>
                </c:pt>
                <c:pt idx="15">
                  <c:v>0.63025210084033623</c:v>
                </c:pt>
                <c:pt idx="16">
                  <c:v>0.68277310924369761</c:v>
                </c:pt>
                <c:pt idx="17">
                  <c:v>0.73529411764705888</c:v>
                </c:pt>
                <c:pt idx="18">
                  <c:v>0.78781512605042026</c:v>
                </c:pt>
                <c:pt idx="19">
                  <c:v>0.84033613445378164</c:v>
                </c:pt>
                <c:pt idx="20">
                  <c:v>0.89285714285714302</c:v>
                </c:pt>
                <c:pt idx="21">
                  <c:v>0.94537815126050428</c:v>
                </c:pt>
                <c:pt idx="22">
                  <c:v>0.99789915966386566</c:v>
                </c:pt>
                <c:pt idx="23">
                  <c:v>1.0504201680672269</c:v>
                </c:pt>
                <c:pt idx="24">
                  <c:v>1.1204481792717089</c:v>
                </c:pt>
                <c:pt idx="25">
                  <c:v>1.1904761904761907</c:v>
                </c:pt>
                <c:pt idx="26">
                  <c:v>1.2605042016806725</c:v>
                </c:pt>
                <c:pt idx="27">
                  <c:v>1.3305322128851542</c:v>
                </c:pt>
                <c:pt idx="28">
                  <c:v>1.400560224089636</c:v>
                </c:pt>
                <c:pt idx="29">
                  <c:v>1.4705882352941178</c:v>
                </c:pt>
                <c:pt idx="30">
                  <c:v>1.5406162464985995</c:v>
                </c:pt>
                <c:pt idx="31">
                  <c:v>1.6106442577030815</c:v>
                </c:pt>
                <c:pt idx="32">
                  <c:v>1.6806722689075633</c:v>
                </c:pt>
                <c:pt idx="33">
                  <c:v>1.785714285714286</c:v>
                </c:pt>
                <c:pt idx="34">
                  <c:v>1.8907563025210086</c:v>
                </c:pt>
                <c:pt idx="35">
                  <c:v>1.9957983193277313</c:v>
                </c:pt>
                <c:pt idx="36">
                  <c:v>2.1008403361344539</c:v>
                </c:pt>
                <c:pt idx="37">
                  <c:v>2.2058823529411766</c:v>
                </c:pt>
                <c:pt idx="38">
                  <c:v>2.3109243697478994</c:v>
                </c:pt>
                <c:pt idx="39">
                  <c:v>2.4159663865546221</c:v>
                </c:pt>
                <c:pt idx="40">
                  <c:v>2.5210084033613449</c:v>
                </c:pt>
                <c:pt idx="41">
                  <c:v>2.7310924369747904</c:v>
                </c:pt>
                <c:pt idx="42">
                  <c:v>2.9411764705882355</c:v>
                </c:pt>
                <c:pt idx="43">
                  <c:v>3.151260504201681</c:v>
                </c:pt>
                <c:pt idx="44">
                  <c:v>3.3613445378151265</c:v>
                </c:pt>
                <c:pt idx="45">
                  <c:v>3.5714285714285721</c:v>
                </c:pt>
                <c:pt idx="46">
                  <c:v>3.7815126050420171</c:v>
                </c:pt>
                <c:pt idx="47">
                  <c:v>3.9915966386554627</c:v>
                </c:pt>
                <c:pt idx="48">
                  <c:v>4.2016806722689077</c:v>
                </c:pt>
                <c:pt idx="49">
                  <c:v>4.4117647058823533</c:v>
                </c:pt>
                <c:pt idx="50">
                  <c:v>4.6218487394957988</c:v>
                </c:pt>
                <c:pt idx="51">
                  <c:v>4.8319327731092443</c:v>
                </c:pt>
                <c:pt idx="52">
                  <c:v>5.0420168067226898</c:v>
                </c:pt>
              </c:numCache>
            </c:numRef>
          </c:xVal>
          <c:yVal>
            <c:numRef>
              <c:f>[1]TRH8hP4!$M$19:$M$71</c:f>
              <c:numCache>
                <c:formatCode>General</c:formatCode>
                <c:ptCount val="53"/>
                <c:pt idx="0">
                  <c:v>0.66662257606678255</c:v>
                </c:pt>
                <c:pt idx="1">
                  <c:v>0.65612481418961466</c:v>
                </c:pt>
                <c:pt idx="2">
                  <c:v>0.68499365935182621</c:v>
                </c:pt>
                <c:pt idx="3">
                  <c:v>0.6876180998211181</c:v>
                </c:pt>
                <c:pt idx="4">
                  <c:v>0.69811586169828588</c:v>
                </c:pt>
                <c:pt idx="5">
                  <c:v>0.74273134967624888</c:v>
                </c:pt>
                <c:pt idx="6">
                  <c:v>0.81884012328571543</c:v>
                </c:pt>
                <c:pt idx="7">
                  <c:v>0.79259571859279598</c:v>
                </c:pt>
                <c:pt idx="8">
                  <c:v>0.77160019483846032</c:v>
                </c:pt>
                <c:pt idx="9">
                  <c:v>0.7847223971849201</c:v>
                </c:pt>
                <c:pt idx="10">
                  <c:v>0.75847799249200054</c:v>
                </c:pt>
                <c:pt idx="11">
                  <c:v>0.76372687343058454</c:v>
                </c:pt>
                <c:pt idx="12">
                  <c:v>0.69549142122899399</c:v>
                </c:pt>
                <c:pt idx="13">
                  <c:v>0.64300261184315499</c:v>
                </c:pt>
                <c:pt idx="14">
                  <c:v>0.63512929043527921</c:v>
                </c:pt>
                <c:pt idx="15">
                  <c:v>0.61675820715023555</c:v>
                </c:pt>
                <c:pt idx="16">
                  <c:v>0.55377163588722889</c:v>
                </c:pt>
                <c:pt idx="17">
                  <c:v>0.54327387401006111</c:v>
                </c:pt>
                <c:pt idx="18">
                  <c:v>0.53802499307147711</c:v>
                </c:pt>
                <c:pt idx="19">
                  <c:v>0.52752723119430933</c:v>
                </c:pt>
                <c:pt idx="20">
                  <c:v>0.51965390978643355</c:v>
                </c:pt>
                <c:pt idx="21">
                  <c:v>0.446169576646259</c:v>
                </c:pt>
                <c:pt idx="22">
                  <c:v>0.46191621946201067</c:v>
                </c:pt>
                <c:pt idx="23">
                  <c:v>0.49078506462422211</c:v>
                </c:pt>
                <c:pt idx="24">
                  <c:v>0.44092069570767511</c:v>
                </c:pt>
                <c:pt idx="25">
                  <c:v>0.43304737429979923</c:v>
                </c:pt>
                <c:pt idx="26">
                  <c:v>0.38843188632183623</c:v>
                </c:pt>
                <c:pt idx="27">
                  <c:v>0.32282087458953751</c:v>
                </c:pt>
                <c:pt idx="28">
                  <c:v>0.35693860069033279</c:v>
                </c:pt>
                <c:pt idx="29">
                  <c:v>0.30182535083520196</c:v>
                </c:pt>
                <c:pt idx="30">
                  <c:v>0.2440876605107791</c:v>
                </c:pt>
                <c:pt idx="31">
                  <c:v>0.22571657722573546</c:v>
                </c:pt>
                <c:pt idx="32">
                  <c:v>0.20734549394069182</c:v>
                </c:pt>
                <c:pt idx="33">
                  <c:v>0.1942232915942321</c:v>
                </c:pt>
                <c:pt idx="34">
                  <c:v>0.18634997018635624</c:v>
                </c:pt>
                <c:pt idx="35">
                  <c:v>0.15223224408556096</c:v>
                </c:pt>
                <c:pt idx="36">
                  <c:v>0.13648560126980924</c:v>
                </c:pt>
                <c:pt idx="37">
                  <c:v>0.13386116080051733</c:v>
                </c:pt>
                <c:pt idx="38">
                  <c:v>0.15748112502414485</c:v>
                </c:pt>
                <c:pt idx="39">
                  <c:v>0.14698336314697705</c:v>
                </c:pt>
                <c:pt idx="40">
                  <c:v>0.14960780361626902</c:v>
                </c:pt>
                <c:pt idx="41">
                  <c:v>9.4494553761138106E-2</c:v>
                </c:pt>
                <c:pt idx="42">
                  <c:v>7.874791094538644E-2</c:v>
                </c:pt>
                <c:pt idx="43">
                  <c:v>6.300126812963476E-2</c:v>
                </c:pt>
                <c:pt idx="44">
                  <c:v>4.9879065783175025E-2</c:v>
                </c:pt>
                <c:pt idx="45">
                  <c:v>3.1507982498131394E-2</c:v>
                </c:pt>
                <c:pt idx="46">
                  <c:v>2.8883542028839453E-2</c:v>
                </c:pt>
                <c:pt idx="47">
                  <c:v>2.3634661090255561E-2</c:v>
                </c:pt>
                <c:pt idx="48">
                  <c:v>1.5761339682379714E-2</c:v>
                </c:pt>
                <c:pt idx="49">
                  <c:v>1.0512458743795822E-2</c:v>
                </c:pt>
                <c:pt idx="50">
                  <c:v>1.0512458743795822E-2</c:v>
                </c:pt>
                <c:pt idx="51">
                  <c:v>7.8880182745038763E-3</c:v>
                </c:pt>
                <c:pt idx="52">
                  <c:v>5.2635778052119277E-3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7E5B-43ED-B611-AA067BE91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27883920"/>
        <c:axId val="-1827883376"/>
      </c:scatterChart>
      <c:valAx>
        <c:axId val="-1827883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CO" b="1" i="0" baseline="0"/>
                </a:pPr>
                <a:r>
                  <a:rPr lang="es-CO" b="1" i="0" baseline="0"/>
                  <a:t>t (min)</a:t>
                </a:r>
              </a:p>
            </c:rich>
          </c:tx>
          <c:layout>
            <c:manualLayout>
              <c:xMode val="edge"/>
              <c:yMode val="edge"/>
              <c:x val="0.37836401244547496"/>
              <c:y val="0.934307780492932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MX"/>
          </a:p>
        </c:txPr>
        <c:crossAx val="-1827883376"/>
        <c:crosses val="autoZero"/>
        <c:crossBetween val="midCat"/>
      </c:valAx>
      <c:valAx>
        <c:axId val="-1827883376"/>
        <c:scaling>
          <c:logBase val="2.2999999999999998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CO" b="1" i="0" baseline="0"/>
                </a:pPr>
                <a:r>
                  <a:rPr lang="es-CO" b="1" i="0" baseline="0"/>
                  <a:t>1-F</a:t>
                </a:r>
                <a:endParaRPr lang="el-GR" b="1" i="0" baseline="0"/>
              </a:p>
            </c:rich>
          </c:tx>
          <c:layout>
            <c:manualLayout>
              <c:xMode val="edge"/>
              <c:yMode val="edge"/>
              <c:x val="2.888095113938572E-2"/>
              <c:y val="0.367696322442453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/>
            </a:pPr>
            <a:endParaRPr lang="es-MX"/>
          </a:p>
        </c:txPr>
        <c:crossAx val="-182788392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853668457005789"/>
          <c:y val="0.83597882161283266"/>
          <c:w val="0.77148667674820004"/>
          <c:h val="5.8946812682897365E-2"/>
        </c:manualLayout>
      </c:layout>
      <c:overlay val="0"/>
      <c:txPr>
        <a:bodyPr/>
        <a:lstStyle/>
        <a:p>
          <a:pPr>
            <a:defRPr lang="es-CO"/>
          </a:pPr>
          <a:endParaRPr lang="es-MX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ahoma" pitchFamily="34" charset="0"/>
          <a:ea typeface="Arial"/>
          <a:cs typeface="Arial"/>
        </a:defRPr>
      </a:pPr>
      <a:endParaRPr lang="es-MX"/>
    </a:p>
  </c:txPr>
  <c:printSettings>
    <c:headerFooter alignWithMargins="0"/>
    <c:pageMargins b="1" l="0.75000000000001465" r="0.75000000000001465" t="1" header="0" footer="0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CO"/>
            </a:pPr>
            <a:r>
              <a:rPr lang="es-MX"/>
              <a:t>TRH 10 h. Efuente</a:t>
            </a:r>
          </a:p>
        </c:rich>
      </c:tx>
      <c:layout>
        <c:manualLayout>
          <c:xMode val="edge"/>
          <c:yMode val="edge"/>
          <c:x val="0.31227424696912887"/>
          <c:y val="3.38028131098998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451606737435244"/>
          <c:y val="0.13000707756175023"/>
          <c:w val="0.77272000857796863"/>
          <c:h val="0.61817756793049972"/>
        </c:manualLayout>
      </c:layout>
      <c:scatterChart>
        <c:scatterStyle val="lineMarker"/>
        <c:varyColors val="0"/>
        <c:ser>
          <c:idx val="0"/>
          <c:order val="0"/>
          <c:tx>
            <c:v>Dato exp</c:v>
          </c:tx>
          <c:spPr>
            <a:ln w="15875">
              <a:solidFill>
                <a:sysClr val="windowText" lastClr="000000"/>
              </a:solidFill>
              <a:prstDash val="solid"/>
            </a:ln>
          </c:spPr>
          <c:marker>
            <c:symbol val="triang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trendline>
            <c:trendlineType val="log"/>
            <c:dispRSqr val="0"/>
            <c:dispEq val="0"/>
          </c:trendline>
          <c:xVal>
            <c:numRef>
              <c:f>'[1]TRH 10hE'!$L$12:$L$88</c:f>
              <c:numCache>
                <c:formatCode>General</c:formatCode>
                <c:ptCount val="77"/>
                <c:pt idx="0">
                  <c:v>0</c:v>
                </c:pt>
                <c:pt idx="1">
                  <c:v>8.1380208333333339E-3</c:v>
                </c:pt>
                <c:pt idx="2">
                  <c:v>1.6276041666666668E-2</c:v>
                </c:pt>
                <c:pt idx="3">
                  <c:v>2.44140625E-2</c:v>
                </c:pt>
                <c:pt idx="4">
                  <c:v>3.2552083333333336E-2</c:v>
                </c:pt>
                <c:pt idx="5">
                  <c:v>4.0690104166666671E-2</c:v>
                </c:pt>
                <c:pt idx="6">
                  <c:v>4.8828125E-2</c:v>
                </c:pt>
                <c:pt idx="7">
                  <c:v>5.6966145833333336E-2</c:v>
                </c:pt>
                <c:pt idx="8">
                  <c:v>6.5104166666666671E-2</c:v>
                </c:pt>
                <c:pt idx="9">
                  <c:v>7.32421875E-2</c:v>
                </c:pt>
                <c:pt idx="10">
                  <c:v>8.1380208333333343E-2</c:v>
                </c:pt>
                <c:pt idx="11">
                  <c:v>8.9518229166666671E-2</c:v>
                </c:pt>
                <c:pt idx="12">
                  <c:v>9.765625E-2</c:v>
                </c:pt>
                <c:pt idx="13">
                  <c:v>0.11393229166666667</c:v>
                </c:pt>
                <c:pt idx="14">
                  <c:v>0.13020833333333334</c:v>
                </c:pt>
                <c:pt idx="15">
                  <c:v>0.146484375</c:v>
                </c:pt>
                <c:pt idx="16">
                  <c:v>0.16276041666666669</c:v>
                </c:pt>
                <c:pt idx="17">
                  <c:v>0.17903645833333334</c:v>
                </c:pt>
                <c:pt idx="18">
                  <c:v>0.1953125</c:v>
                </c:pt>
                <c:pt idx="19">
                  <c:v>0.2197265625</c:v>
                </c:pt>
                <c:pt idx="20">
                  <c:v>0.244140625</c:v>
                </c:pt>
                <c:pt idx="21">
                  <c:v>0.2685546875</c:v>
                </c:pt>
                <c:pt idx="22">
                  <c:v>0.29296875</c:v>
                </c:pt>
                <c:pt idx="23">
                  <c:v>0.3173828125</c:v>
                </c:pt>
                <c:pt idx="24">
                  <c:v>0.341796875</c:v>
                </c:pt>
                <c:pt idx="25">
                  <c:v>0.3662109375</c:v>
                </c:pt>
                <c:pt idx="26">
                  <c:v>0.390625</c:v>
                </c:pt>
                <c:pt idx="27">
                  <c:v>0.4150390625</c:v>
                </c:pt>
                <c:pt idx="28">
                  <c:v>0.439453125</c:v>
                </c:pt>
                <c:pt idx="29">
                  <c:v>0.4638671875</c:v>
                </c:pt>
                <c:pt idx="30">
                  <c:v>0.48828125</c:v>
                </c:pt>
                <c:pt idx="31">
                  <c:v>0.52083333333333337</c:v>
                </c:pt>
                <c:pt idx="32">
                  <c:v>0.55338541666666674</c:v>
                </c:pt>
                <c:pt idx="33">
                  <c:v>0.5859375</c:v>
                </c:pt>
                <c:pt idx="34">
                  <c:v>0.61848958333333337</c:v>
                </c:pt>
                <c:pt idx="35">
                  <c:v>0.65104166666666674</c:v>
                </c:pt>
                <c:pt idx="36">
                  <c:v>0.68359375</c:v>
                </c:pt>
                <c:pt idx="37">
                  <c:v>0.71614583333333337</c:v>
                </c:pt>
                <c:pt idx="38">
                  <c:v>0.74869791666666674</c:v>
                </c:pt>
                <c:pt idx="39">
                  <c:v>0.78125</c:v>
                </c:pt>
                <c:pt idx="40">
                  <c:v>0.830078125</c:v>
                </c:pt>
                <c:pt idx="41">
                  <c:v>0.87890625</c:v>
                </c:pt>
                <c:pt idx="42">
                  <c:v>0.927734375</c:v>
                </c:pt>
                <c:pt idx="43">
                  <c:v>0.9765625</c:v>
                </c:pt>
                <c:pt idx="44">
                  <c:v>1.025390625</c:v>
                </c:pt>
                <c:pt idx="45">
                  <c:v>1.07421875</c:v>
                </c:pt>
                <c:pt idx="46">
                  <c:v>1.123046875</c:v>
                </c:pt>
                <c:pt idx="47">
                  <c:v>1.171875</c:v>
                </c:pt>
                <c:pt idx="48">
                  <c:v>1.220703125</c:v>
                </c:pt>
                <c:pt idx="49">
                  <c:v>1.26953125</c:v>
                </c:pt>
                <c:pt idx="50">
                  <c:v>1.318359375</c:v>
                </c:pt>
                <c:pt idx="51">
                  <c:v>1.3671875</c:v>
                </c:pt>
                <c:pt idx="52">
                  <c:v>1.46484375</c:v>
                </c:pt>
                <c:pt idx="53">
                  <c:v>1.5625</c:v>
                </c:pt>
                <c:pt idx="54">
                  <c:v>1.66015625</c:v>
                </c:pt>
                <c:pt idx="55">
                  <c:v>1.7578125</c:v>
                </c:pt>
                <c:pt idx="56">
                  <c:v>1.85546875</c:v>
                </c:pt>
                <c:pt idx="57">
                  <c:v>1.953125</c:v>
                </c:pt>
                <c:pt idx="58">
                  <c:v>2.05078125</c:v>
                </c:pt>
                <c:pt idx="59">
                  <c:v>2.1484375</c:v>
                </c:pt>
                <c:pt idx="60">
                  <c:v>2.24609375</c:v>
                </c:pt>
                <c:pt idx="61">
                  <c:v>2.34375</c:v>
                </c:pt>
                <c:pt idx="62">
                  <c:v>2.44140625</c:v>
                </c:pt>
                <c:pt idx="63">
                  <c:v>2.5390625</c:v>
                </c:pt>
                <c:pt idx="64">
                  <c:v>2.63671875</c:v>
                </c:pt>
                <c:pt idx="65">
                  <c:v>2.734375</c:v>
                </c:pt>
                <c:pt idx="66">
                  <c:v>2.83203125</c:v>
                </c:pt>
                <c:pt idx="67">
                  <c:v>2.9296875</c:v>
                </c:pt>
                <c:pt idx="68">
                  <c:v>2.978515625</c:v>
                </c:pt>
                <c:pt idx="69">
                  <c:v>3.02734375</c:v>
                </c:pt>
                <c:pt idx="70">
                  <c:v>3.076171875</c:v>
                </c:pt>
                <c:pt idx="71">
                  <c:v>3.125</c:v>
                </c:pt>
                <c:pt idx="72">
                  <c:v>3.173828125</c:v>
                </c:pt>
                <c:pt idx="73">
                  <c:v>3.22265625</c:v>
                </c:pt>
                <c:pt idx="74">
                  <c:v>3.271484375</c:v>
                </c:pt>
                <c:pt idx="75">
                  <c:v>3.3203125</c:v>
                </c:pt>
                <c:pt idx="76">
                  <c:v>3.369140625</c:v>
                </c:pt>
              </c:numCache>
            </c:numRef>
          </c:xVal>
          <c:yVal>
            <c:numRef>
              <c:f>'[1]TRH 10hE'!$M$12:$M$88</c:f>
              <c:numCache>
                <c:formatCode>General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4.9778801109252712E-3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3.0464626278862653E-2</c:v>
                </c:pt>
                <c:pt idx="20">
                  <c:v>8.0243427388115351E-2</c:v>
                </c:pt>
                <c:pt idx="21">
                  <c:v>0.11192084627582162</c:v>
                </c:pt>
                <c:pt idx="22">
                  <c:v>0.19790241182816715</c:v>
                </c:pt>
                <c:pt idx="23">
                  <c:v>0.37439088848824492</c:v>
                </c:pt>
                <c:pt idx="24">
                  <c:v>0.45132176292981735</c:v>
                </c:pt>
                <c:pt idx="25">
                  <c:v>0.54182867403754953</c:v>
                </c:pt>
                <c:pt idx="26">
                  <c:v>0.61875954847912185</c:v>
                </c:pt>
                <c:pt idx="27">
                  <c:v>0.72736784180840053</c:v>
                </c:pt>
                <c:pt idx="28">
                  <c:v>0.79977337069458632</c:v>
                </c:pt>
                <c:pt idx="29">
                  <c:v>0.8857549362469318</c:v>
                </c:pt>
                <c:pt idx="30">
                  <c:v>0.89480562735770497</c:v>
                </c:pt>
                <c:pt idx="31">
                  <c:v>0.95816046513311759</c:v>
                </c:pt>
                <c:pt idx="32">
                  <c:v>0.98531253846543709</c:v>
                </c:pt>
                <c:pt idx="33">
                  <c:v>0.98531253846543709</c:v>
                </c:pt>
                <c:pt idx="34">
                  <c:v>0.96268581068850412</c:v>
                </c:pt>
                <c:pt idx="35">
                  <c:v>1.0169899573531436</c:v>
                </c:pt>
                <c:pt idx="36">
                  <c:v>1.0169899573531436</c:v>
                </c:pt>
                <c:pt idx="37">
                  <c:v>0.96268581068850412</c:v>
                </c:pt>
                <c:pt idx="38">
                  <c:v>0.9355337373561845</c:v>
                </c:pt>
                <c:pt idx="39">
                  <c:v>0.89480562735770497</c:v>
                </c:pt>
                <c:pt idx="40">
                  <c:v>0.86312820846999883</c:v>
                </c:pt>
                <c:pt idx="41">
                  <c:v>0.78167198847303987</c:v>
                </c:pt>
                <c:pt idx="42">
                  <c:v>0.84050148069306574</c:v>
                </c:pt>
                <c:pt idx="43">
                  <c:v>0.84050148069306574</c:v>
                </c:pt>
                <c:pt idx="44">
                  <c:v>0.76357060625149342</c:v>
                </c:pt>
                <c:pt idx="45">
                  <c:v>0.68211438625453447</c:v>
                </c:pt>
                <c:pt idx="46">
                  <c:v>0.5870821295914157</c:v>
                </c:pt>
                <c:pt idx="47">
                  <c:v>0.49204987292829677</c:v>
                </c:pt>
                <c:pt idx="48">
                  <c:v>0.46037245404059052</c:v>
                </c:pt>
                <c:pt idx="49">
                  <c:v>0.41964434404211109</c:v>
                </c:pt>
                <c:pt idx="50">
                  <c:v>0.3653401973774717</c:v>
                </c:pt>
                <c:pt idx="51">
                  <c:v>0.34723881515592531</c:v>
                </c:pt>
                <c:pt idx="52">
                  <c:v>0.27935863182512616</c:v>
                </c:pt>
                <c:pt idx="53">
                  <c:v>0.24315586738203326</c:v>
                </c:pt>
                <c:pt idx="54">
                  <c:v>0.18432637516200734</c:v>
                </c:pt>
                <c:pt idx="55">
                  <c:v>0.1707503384958475</c:v>
                </c:pt>
                <c:pt idx="56">
                  <c:v>0.14359826516352786</c:v>
                </c:pt>
                <c:pt idx="57">
                  <c:v>0.12097153738659484</c:v>
                </c:pt>
                <c:pt idx="58">
                  <c:v>0.11644619183120823</c:v>
                </c:pt>
                <c:pt idx="59">
                  <c:v>9.8344809609661799E-2</c:v>
                </c:pt>
                <c:pt idx="60">
                  <c:v>8.9294118498888575E-2</c:v>
                </c:pt>
                <c:pt idx="61">
                  <c:v>7.1192736277342128E-2</c:v>
                </c:pt>
                <c:pt idx="62">
                  <c:v>6.2142045166568932E-2</c:v>
                </c:pt>
                <c:pt idx="63">
                  <c:v>5.3091354055795709E-2</c:v>
                </c:pt>
                <c:pt idx="64">
                  <c:v>3.9515317389635873E-2</c:v>
                </c:pt>
                <c:pt idx="65">
                  <c:v>3.4989971834249262E-2</c:v>
                </c:pt>
                <c:pt idx="66">
                  <c:v>3.0464626278862653E-2</c:v>
                </c:pt>
                <c:pt idx="67">
                  <c:v>3.0464626278862653E-2</c:v>
                </c:pt>
                <c:pt idx="68">
                  <c:v>2.5939280723476042E-2</c:v>
                </c:pt>
                <c:pt idx="69">
                  <c:v>2.1413935168089437E-2</c:v>
                </c:pt>
                <c:pt idx="70">
                  <c:v>2.1413935168089437E-2</c:v>
                </c:pt>
                <c:pt idx="71">
                  <c:v>2.1413935168089437E-2</c:v>
                </c:pt>
                <c:pt idx="72">
                  <c:v>2.1413935168089437E-2</c:v>
                </c:pt>
                <c:pt idx="73">
                  <c:v>2.5939280723476042E-2</c:v>
                </c:pt>
                <c:pt idx="74">
                  <c:v>2.1413935168089437E-2</c:v>
                </c:pt>
                <c:pt idx="75">
                  <c:v>1.6888589612702821E-2</c:v>
                </c:pt>
                <c:pt idx="76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3B5D-4655-860F-508945DEA815}"/>
            </c:ext>
          </c:extLst>
        </c:ser>
        <c:ser>
          <c:idx val="1"/>
          <c:order val="1"/>
          <c:tx>
            <c:v>T.S</c:v>
          </c:tx>
          <c:spPr>
            <a:ln w="12700"/>
          </c:spPr>
          <c:marker>
            <c:symbol val="squar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trendline>
            <c:trendlineType val="log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log"/>
            <c:dispRSqr val="0"/>
            <c:dispEq val="0"/>
          </c:trendline>
          <c:xVal>
            <c:numRef>
              <c:f>'[1]TRH 10hE'!$L$12:$L$88</c:f>
              <c:numCache>
                <c:formatCode>General</c:formatCode>
                <c:ptCount val="77"/>
                <c:pt idx="0">
                  <c:v>0</c:v>
                </c:pt>
                <c:pt idx="1">
                  <c:v>8.1380208333333339E-3</c:v>
                </c:pt>
                <c:pt idx="2">
                  <c:v>1.6276041666666668E-2</c:v>
                </c:pt>
                <c:pt idx="3">
                  <c:v>2.44140625E-2</c:v>
                </c:pt>
                <c:pt idx="4">
                  <c:v>3.2552083333333336E-2</c:v>
                </c:pt>
                <c:pt idx="5">
                  <c:v>4.0690104166666671E-2</c:v>
                </c:pt>
                <c:pt idx="6">
                  <c:v>4.8828125E-2</c:v>
                </c:pt>
                <c:pt idx="7">
                  <c:v>5.6966145833333336E-2</c:v>
                </c:pt>
                <c:pt idx="8">
                  <c:v>6.5104166666666671E-2</c:v>
                </c:pt>
                <c:pt idx="9">
                  <c:v>7.32421875E-2</c:v>
                </c:pt>
                <c:pt idx="10">
                  <c:v>8.1380208333333343E-2</c:v>
                </c:pt>
                <c:pt idx="11">
                  <c:v>8.9518229166666671E-2</c:v>
                </c:pt>
                <c:pt idx="12">
                  <c:v>9.765625E-2</c:v>
                </c:pt>
                <c:pt idx="13">
                  <c:v>0.11393229166666667</c:v>
                </c:pt>
                <c:pt idx="14">
                  <c:v>0.13020833333333334</c:v>
                </c:pt>
                <c:pt idx="15">
                  <c:v>0.146484375</c:v>
                </c:pt>
                <c:pt idx="16">
                  <c:v>0.16276041666666669</c:v>
                </c:pt>
                <c:pt idx="17">
                  <c:v>0.17903645833333334</c:v>
                </c:pt>
                <c:pt idx="18">
                  <c:v>0.1953125</c:v>
                </c:pt>
                <c:pt idx="19">
                  <c:v>0.2197265625</c:v>
                </c:pt>
                <c:pt idx="20">
                  <c:v>0.244140625</c:v>
                </c:pt>
                <c:pt idx="21">
                  <c:v>0.2685546875</c:v>
                </c:pt>
                <c:pt idx="22">
                  <c:v>0.29296875</c:v>
                </c:pt>
                <c:pt idx="23">
                  <c:v>0.3173828125</c:v>
                </c:pt>
                <c:pt idx="24">
                  <c:v>0.341796875</c:v>
                </c:pt>
                <c:pt idx="25">
                  <c:v>0.3662109375</c:v>
                </c:pt>
                <c:pt idx="26">
                  <c:v>0.390625</c:v>
                </c:pt>
                <c:pt idx="27">
                  <c:v>0.4150390625</c:v>
                </c:pt>
                <c:pt idx="28">
                  <c:v>0.439453125</c:v>
                </c:pt>
                <c:pt idx="29">
                  <c:v>0.4638671875</c:v>
                </c:pt>
                <c:pt idx="30">
                  <c:v>0.48828125</c:v>
                </c:pt>
                <c:pt idx="31">
                  <c:v>0.52083333333333337</c:v>
                </c:pt>
                <c:pt idx="32">
                  <c:v>0.55338541666666674</c:v>
                </c:pt>
                <c:pt idx="33">
                  <c:v>0.5859375</c:v>
                </c:pt>
                <c:pt idx="34">
                  <c:v>0.61848958333333337</c:v>
                </c:pt>
                <c:pt idx="35">
                  <c:v>0.65104166666666674</c:v>
                </c:pt>
                <c:pt idx="36">
                  <c:v>0.68359375</c:v>
                </c:pt>
                <c:pt idx="37">
                  <c:v>0.71614583333333337</c:v>
                </c:pt>
                <c:pt idx="38">
                  <c:v>0.74869791666666674</c:v>
                </c:pt>
                <c:pt idx="39">
                  <c:v>0.78125</c:v>
                </c:pt>
                <c:pt idx="40">
                  <c:v>0.830078125</c:v>
                </c:pt>
                <c:pt idx="41">
                  <c:v>0.87890625</c:v>
                </c:pt>
                <c:pt idx="42">
                  <c:v>0.927734375</c:v>
                </c:pt>
                <c:pt idx="43">
                  <c:v>0.9765625</c:v>
                </c:pt>
                <c:pt idx="44">
                  <c:v>1.025390625</c:v>
                </c:pt>
                <c:pt idx="45">
                  <c:v>1.07421875</c:v>
                </c:pt>
                <c:pt idx="46">
                  <c:v>1.123046875</c:v>
                </c:pt>
                <c:pt idx="47">
                  <c:v>1.171875</c:v>
                </c:pt>
                <c:pt idx="48">
                  <c:v>1.220703125</c:v>
                </c:pt>
                <c:pt idx="49">
                  <c:v>1.26953125</c:v>
                </c:pt>
                <c:pt idx="50">
                  <c:v>1.318359375</c:v>
                </c:pt>
                <c:pt idx="51">
                  <c:v>1.3671875</c:v>
                </c:pt>
                <c:pt idx="52">
                  <c:v>1.46484375</c:v>
                </c:pt>
                <c:pt idx="53">
                  <c:v>1.5625</c:v>
                </c:pt>
                <c:pt idx="54">
                  <c:v>1.66015625</c:v>
                </c:pt>
                <c:pt idx="55">
                  <c:v>1.7578125</c:v>
                </c:pt>
                <c:pt idx="56">
                  <c:v>1.85546875</c:v>
                </c:pt>
                <c:pt idx="57">
                  <c:v>1.953125</c:v>
                </c:pt>
                <c:pt idx="58">
                  <c:v>2.05078125</c:v>
                </c:pt>
                <c:pt idx="59">
                  <c:v>2.1484375</c:v>
                </c:pt>
                <c:pt idx="60">
                  <c:v>2.24609375</c:v>
                </c:pt>
                <c:pt idx="61">
                  <c:v>2.34375</c:v>
                </c:pt>
                <c:pt idx="62">
                  <c:v>2.44140625</c:v>
                </c:pt>
                <c:pt idx="63">
                  <c:v>2.5390625</c:v>
                </c:pt>
                <c:pt idx="64">
                  <c:v>2.63671875</c:v>
                </c:pt>
                <c:pt idx="65">
                  <c:v>2.734375</c:v>
                </c:pt>
                <c:pt idx="66">
                  <c:v>2.83203125</c:v>
                </c:pt>
                <c:pt idx="67">
                  <c:v>2.9296875</c:v>
                </c:pt>
                <c:pt idx="68">
                  <c:v>2.978515625</c:v>
                </c:pt>
                <c:pt idx="69">
                  <c:v>3.02734375</c:v>
                </c:pt>
                <c:pt idx="70">
                  <c:v>3.076171875</c:v>
                </c:pt>
                <c:pt idx="71">
                  <c:v>3.125</c:v>
                </c:pt>
                <c:pt idx="72">
                  <c:v>3.173828125</c:v>
                </c:pt>
                <c:pt idx="73">
                  <c:v>3.22265625</c:v>
                </c:pt>
                <c:pt idx="74">
                  <c:v>3.271484375</c:v>
                </c:pt>
                <c:pt idx="75">
                  <c:v>3.3203125</c:v>
                </c:pt>
                <c:pt idx="76">
                  <c:v>3.369140625</c:v>
                </c:pt>
              </c:numCache>
            </c:numRef>
          </c:xVal>
          <c:yVal>
            <c:numRef>
              <c:f>'[1]TRH 10hE'!$Q$12:$Q$88</c:f>
              <c:numCache>
                <c:formatCode>General</c:formatCode>
                <c:ptCount val="77"/>
                <c:pt idx="0">
                  <c:v>0</c:v>
                </c:pt>
                <c:pt idx="1">
                  <c:v>5.1112205302432444E-4</c:v>
                </c:pt>
                <c:pt idx="2">
                  <c:v>2.3544335000763869E-3</c:v>
                </c:pt>
                <c:pt idx="3">
                  <c:v>5.6907967076588488E-3</c:v>
                </c:pt>
                <c:pt idx="4">
                  <c:v>1.0563093040327102E-2</c:v>
                </c:pt>
                <c:pt idx="5">
                  <c:v>1.6965909612129342E-2</c:v>
                </c:pt>
                <c:pt idx="6">
                  <c:v>2.4866840907279152E-2</c:v>
                </c:pt>
                <c:pt idx="7">
                  <c:v>3.4216698404306488E-2</c:v>
                </c:pt>
                <c:pt idx="8">
                  <c:v>4.4955363850149831E-2</c:v>
                </c:pt>
                <c:pt idx="9">
                  <c:v>5.7015507483804885E-2</c:v>
                </c:pt>
                <c:pt idx="10">
                  <c:v>7.0325111352048345E-2</c:v>
                </c:pt>
                <c:pt idx="11">
                  <c:v>8.4809260911640594E-2</c:v>
                </c:pt>
                <c:pt idx="12">
                  <c:v>0.10039145834173788</c:v>
                </c:pt>
                <c:pt idx="13">
                  <c:v>0.13454176375849738</c:v>
                </c:pt>
                <c:pt idx="14">
                  <c:v>0.17216441831257209</c:v>
                </c:pt>
                <c:pt idx="15">
                  <c:v>0.21266584422624626</c:v>
                </c:pt>
                <c:pt idx="16">
                  <c:v>0.25548066996662966</c:v>
                </c:pt>
                <c:pt idx="17">
                  <c:v>0.30007772873209432</c:v>
                </c:pt>
                <c:pt idx="18">
                  <c:v>0.34596336792275501</c:v>
                </c:pt>
                <c:pt idx="19">
                  <c:v>0.41622420151093997</c:v>
                </c:pt>
                <c:pt idx="20">
                  <c:v>0.48700172373133455</c:v>
                </c:pt>
                <c:pt idx="21">
                  <c:v>0.55712042878590184</c:v>
                </c:pt>
                <c:pt idx="22">
                  <c:v>0.62558784745462181</c:v>
                </c:pt>
                <c:pt idx="23">
                  <c:v>0.69158110657226535</c:v>
                </c:pt>
                <c:pt idx="24">
                  <c:v>0.75443204642727302</c:v>
                </c:pt>
                <c:pt idx="25">
                  <c:v>0.81361189381747645</c:v>
                </c:pt>
                <c:pt idx="26">
                  <c:v>0.86871612195547776</c:v>
                </c:pt>
                <c:pt idx="27">
                  <c:v>0.9194498923702692</c:v>
                </c:pt>
                <c:pt idx="28">
                  <c:v>0.9656143182580591</c:v>
                </c:pt>
                <c:pt idx="29">
                  <c:v>1.0070936843829357</c:v>
                </c:pt>
                <c:pt idx="30">
                  <c:v>1.0438436880726236</c:v>
                </c:pt>
                <c:pt idx="31">
                  <c:v>1.085522750297774</c:v>
                </c:pt>
                <c:pt idx="32">
                  <c:v>1.1190048848140204</c:v>
                </c:pt>
                <c:pt idx="33">
                  <c:v>1.1445914057224196</c:v>
                </c:pt>
                <c:pt idx="34">
                  <c:v>1.1626781845922307</c:v>
                </c:pt>
                <c:pt idx="35">
                  <c:v>1.1737294146581696</c:v>
                </c:pt>
                <c:pt idx="36">
                  <c:v>1.1782555954570038</c:v>
                </c:pt>
                <c:pt idx="37">
                  <c:v>1.1767952645287485</c:v>
                </c:pt>
                <c:pt idx="38">
                  <c:v>1.1699000220117972</c:v>
                </c:pt>
                <c:pt idx="39">
                  <c:v>1.1581224230936611</c:v>
                </c:pt>
                <c:pt idx="40">
                  <c:v>1.1324870856391329</c:v>
                </c:pt>
                <c:pt idx="41">
                  <c:v>1.0988476704441055</c:v>
                </c:pt>
                <c:pt idx="42">
                  <c:v>1.0588447078544698</c:v>
                </c:pt>
                <c:pt idx="43">
                  <c:v>1.0139731856817897</c:v>
                </c:pt>
                <c:pt idx="44">
                  <c:v>0.96556992021654764</c:v>
                </c:pt>
                <c:pt idx="45">
                  <c:v>0.91480991831025038</c:v>
                </c:pt>
                <c:pt idx="46">
                  <c:v>0.86270921489561458</c:v>
                </c:pt>
                <c:pt idx="47">
                  <c:v>0.81013219845260009</c:v>
                </c:pt>
                <c:pt idx="48">
                  <c:v>0.75780187634145002</c:v>
                </c:pt>
                <c:pt idx="49">
                  <c:v>0.70631189282725482</c:v>
                </c:pt>
                <c:pt idx="50">
                  <c:v>0.65613940560339012</c:v>
                </c:pt>
                <c:pt idx="51">
                  <c:v>0.60765816183803845</c:v>
                </c:pt>
                <c:pt idx="52">
                  <c:v>0.51682356245862071</c:v>
                </c:pt>
                <c:pt idx="53">
                  <c:v>0.4351998198660183</c:v>
                </c:pt>
                <c:pt idx="54">
                  <c:v>0.36326595729868721</c:v>
                </c:pt>
                <c:pt idx="55">
                  <c:v>0.3008750256672027</c:v>
                </c:pt>
                <c:pt idx="56">
                  <c:v>0.24747887026765075</c:v>
                </c:pt>
                <c:pt idx="57">
                  <c:v>0.20229704116933736</c:v>
                </c:pt>
                <c:pt idx="58">
                  <c:v>0.16443868472794818</c:v>
                </c:pt>
                <c:pt idx="59">
                  <c:v>0.13298673905924238</c:v>
                </c:pt>
                <c:pt idx="60">
                  <c:v>0.10705306728588965</c:v>
                </c:pt>
                <c:pt idx="61">
                  <c:v>8.5811951312229226E-2</c:v>
                </c:pt>
                <c:pt idx="62">
                  <c:v>6.8518014011667419E-2</c:v>
                </c:pt>
                <c:pt idx="63">
                  <c:v>5.4513342925116573E-2</c:v>
                </c:pt>
                <c:pt idx="64">
                  <c:v>4.3227450583907402E-2</c:v>
                </c:pt>
                <c:pt idx="65">
                  <c:v>3.417275899097616E-2</c:v>
                </c:pt>
                <c:pt idx="66">
                  <c:v>2.6937537283617155E-2</c:v>
                </c:pt>
                <c:pt idx="67">
                  <c:v>2.117763336327828E-2</c:v>
                </c:pt>
                <c:pt idx="68">
                  <c:v>1.875974213621906E-2</c:v>
                </c:pt>
                <c:pt idx="69">
                  <c:v>1.6607896497967786E-2</c:v>
                </c:pt>
                <c:pt idx="70">
                  <c:v>1.4694306521374302E-2</c:v>
                </c:pt>
                <c:pt idx="71">
                  <c:v>1.2993861664451921E-2</c:v>
                </c:pt>
                <c:pt idx="72">
                  <c:v>1.1483907050929231E-2</c:v>
                </c:pt>
                <c:pt idx="73">
                  <c:v>1.0144032767257161E-2</c:v>
                </c:pt>
                <c:pt idx="74">
                  <c:v>8.9558764621410544E-3</c:v>
                </c:pt>
                <c:pt idx="75">
                  <c:v>7.9029392699865517E-3</c:v>
                </c:pt>
                <c:pt idx="76">
                  <c:v>6.9704148726393769E-3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3B5D-4655-860F-508945DEA815}"/>
            </c:ext>
          </c:extLst>
        </c:ser>
        <c:ser>
          <c:idx val="4"/>
          <c:order val="2"/>
          <c:tx>
            <c:v>GDRA</c:v>
          </c:tx>
          <c:spPr>
            <a:ln w="12700">
              <a:solidFill>
                <a:srgbClr val="0000CC"/>
              </a:solidFill>
            </a:ln>
          </c:spPr>
          <c:marker>
            <c:symbol val="star"/>
            <c:size val="3"/>
            <c:spPr>
              <a:ln>
                <a:solidFill>
                  <a:srgbClr val="0000CC"/>
                </a:solidFill>
              </a:ln>
            </c:spPr>
          </c:marker>
          <c:xVal>
            <c:numRef>
              <c:f>'[1]TRH 10hE'!$L$12:$L$88</c:f>
              <c:numCache>
                <c:formatCode>General</c:formatCode>
                <c:ptCount val="77"/>
                <c:pt idx="0">
                  <c:v>0</c:v>
                </c:pt>
                <c:pt idx="1">
                  <c:v>8.1380208333333339E-3</c:v>
                </c:pt>
                <c:pt idx="2">
                  <c:v>1.6276041666666668E-2</c:v>
                </c:pt>
                <c:pt idx="3">
                  <c:v>2.44140625E-2</c:v>
                </c:pt>
                <c:pt idx="4">
                  <c:v>3.2552083333333336E-2</c:v>
                </c:pt>
                <c:pt idx="5">
                  <c:v>4.0690104166666671E-2</c:v>
                </c:pt>
                <c:pt idx="6">
                  <c:v>4.8828125E-2</c:v>
                </c:pt>
                <c:pt idx="7">
                  <c:v>5.6966145833333336E-2</c:v>
                </c:pt>
                <c:pt idx="8">
                  <c:v>6.5104166666666671E-2</c:v>
                </c:pt>
                <c:pt idx="9">
                  <c:v>7.32421875E-2</c:v>
                </c:pt>
                <c:pt idx="10">
                  <c:v>8.1380208333333343E-2</c:v>
                </c:pt>
                <c:pt idx="11">
                  <c:v>8.9518229166666671E-2</c:v>
                </c:pt>
                <c:pt idx="12">
                  <c:v>9.765625E-2</c:v>
                </c:pt>
                <c:pt idx="13">
                  <c:v>0.11393229166666667</c:v>
                </c:pt>
                <c:pt idx="14">
                  <c:v>0.13020833333333334</c:v>
                </c:pt>
                <c:pt idx="15">
                  <c:v>0.146484375</c:v>
                </c:pt>
                <c:pt idx="16">
                  <c:v>0.16276041666666669</c:v>
                </c:pt>
                <c:pt idx="17">
                  <c:v>0.17903645833333334</c:v>
                </c:pt>
                <c:pt idx="18">
                  <c:v>0.1953125</c:v>
                </c:pt>
                <c:pt idx="19">
                  <c:v>0.2197265625</c:v>
                </c:pt>
                <c:pt idx="20">
                  <c:v>0.244140625</c:v>
                </c:pt>
                <c:pt idx="21">
                  <c:v>0.2685546875</c:v>
                </c:pt>
                <c:pt idx="22">
                  <c:v>0.29296875</c:v>
                </c:pt>
                <c:pt idx="23">
                  <c:v>0.3173828125</c:v>
                </c:pt>
                <c:pt idx="24">
                  <c:v>0.341796875</c:v>
                </c:pt>
                <c:pt idx="25">
                  <c:v>0.3662109375</c:v>
                </c:pt>
                <c:pt idx="26">
                  <c:v>0.390625</c:v>
                </c:pt>
                <c:pt idx="27">
                  <c:v>0.4150390625</c:v>
                </c:pt>
                <c:pt idx="28">
                  <c:v>0.439453125</c:v>
                </c:pt>
                <c:pt idx="29">
                  <c:v>0.4638671875</c:v>
                </c:pt>
                <c:pt idx="30">
                  <c:v>0.48828125</c:v>
                </c:pt>
                <c:pt idx="31">
                  <c:v>0.52083333333333337</c:v>
                </c:pt>
                <c:pt idx="32">
                  <c:v>0.55338541666666674</c:v>
                </c:pt>
                <c:pt idx="33">
                  <c:v>0.5859375</c:v>
                </c:pt>
                <c:pt idx="34">
                  <c:v>0.61848958333333337</c:v>
                </c:pt>
                <c:pt idx="35">
                  <c:v>0.65104166666666674</c:v>
                </c:pt>
                <c:pt idx="36">
                  <c:v>0.68359375</c:v>
                </c:pt>
                <c:pt idx="37">
                  <c:v>0.71614583333333337</c:v>
                </c:pt>
                <c:pt idx="38">
                  <c:v>0.74869791666666674</c:v>
                </c:pt>
                <c:pt idx="39">
                  <c:v>0.78125</c:v>
                </c:pt>
                <c:pt idx="40">
                  <c:v>0.830078125</c:v>
                </c:pt>
                <c:pt idx="41">
                  <c:v>0.87890625</c:v>
                </c:pt>
                <c:pt idx="42">
                  <c:v>0.927734375</c:v>
                </c:pt>
                <c:pt idx="43">
                  <c:v>0.9765625</c:v>
                </c:pt>
                <c:pt idx="44">
                  <c:v>1.025390625</c:v>
                </c:pt>
                <c:pt idx="45">
                  <c:v>1.07421875</c:v>
                </c:pt>
                <c:pt idx="46">
                  <c:v>1.123046875</c:v>
                </c:pt>
                <c:pt idx="47">
                  <c:v>1.171875</c:v>
                </c:pt>
                <c:pt idx="48">
                  <c:v>1.220703125</c:v>
                </c:pt>
                <c:pt idx="49">
                  <c:v>1.26953125</c:v>
                </c:pt>
                <c:pt idx="50">
                  <c:v>1.318359375</c:v>
                </c:pt>
                <c:pt idx="51">
                  <c:v>1.3671875</c:v>
                </c:pt>
                <c:pt idx="52">
                  <c:v>1.46484375</c:v>
                </c:pt>
                <c:pt idx="53">
                  <c:v>1.5625</c:v>
                </c:pt>
                <c:pt idx="54">
                  <c:v>1.66015625</c:v>
                </c:pt>
                <c:pt idx="55">
                  <c:v>1.7578125</c:v>
                </c:pt>
                <c:pt idx="56">
                  <c:v>1.85546875</c:v>
                </c:pt>
                <c:pt idx="57">
                  <c:v>1.953125</c:v>
                </c:pt>
                <c:pt idx="58">
                  <c:v>2.05078125</c:v>
                </c:pt>
                <c:pt idx="59">
                  <c:v>2.1484375</c:v>
                </c:pt>
                <c:pt idx="60">
                  <c:v>2.24609375</c:v>
                </c:pt>
                <c:pt idx="61">
                  <c:v>2.34375</c:v>
                </c:pt>
                <c:pt idx="62">
                  <c:v>2.44140625</c:v>
                </c:pt>
                <c:pt idx="63">
                  <c:v>2.5390625</c:v>
                </c:pt>
                <c:pt idx="64">
                  <c:v>2.63671875</c:v>
                </c:pt>
                <c:pt idx="65">
                  <c:v>2.734375</c:v>
                </c:pt>
                <c:pt idx="66">
                  <c:v>2.83203125</c:v>
                </c:pt>
                <c:pt idx="67">
                  <c:v>2.9296875</c:v>
                </c:pt>
                <c:pt idx="68">
                  <c:v>2.978515625</c:v>
                </c:pt>
                <c:pt idx="69">
                  <c:v>3.02734375</c:v>
                </c:pt>
                <c:pt idx="70">
                  <c:v>3.076171875</c:v>
                </c:pt>
                <c:pt idx="71">
                  <c:v>3.125</c:v>
                </c:pt>
                <c:pt idx="72">
                  <c:v>3.173828125</c:v>
                </c:pt>
                <c:pt idx="73">
                  <c:v>3.22265625</c:v>
                </c:pt>
                <c:pt idx="74">
                  <c:v>3.271484375</c:v>
                </c:pt>
                <c:pt idx="75">
                  <c:v>3.3203125</c:v>
                </c:pt>
                <c:pt idx="76">
                  <c:v>3.369140625</c:v>
                </c:pt>
              </c:numCache>
            </c:numRef>
          </c:xVal>
          <c:yVal>
            <c:numRef>
              <c:f>'[1]TRH 10hE'!$P$12:$P$88</c:f>
              <c:numCache>
                <c:formatCode>General</c:formatCode>
                <c:ptCount val="77"/>
                <c:pt idx="0">
                  <c:v>0</c:v>
                </c:pt>
                <c:pt idx="1">
                  <c:v>1.6716333141515611E-121</c:v>
                </c:pt>
                <c:pt idx="2">
                  <c:v>8.8175962608176232E-60</c:v>
                </c:pt>
                <c:pt idx="3">
                  <c:v>2.9928275610218591E-39</c:v>
                </c:pt>
                <c:pt idx="4">
                  <c:v>5.2348310800147517E-29</c:v>
                </c:pt>
                <c:pt idx="5">
                  <c:v>7.0850562750783247E-23</c:v>
                </c:pt>
                <c:pt idx="6">
                  <c:v>8.471317628094737E-19</c:v>
                </c:pt>
                <c:pt idx="7">
                  <c:v>6.8075627526274089E-16</c:v>
                </c:pt>
                <c:pt idx="8">
                  <c:v>1.0135195633955238E-13</c:v>
                </c:pt>
                <c:pt idx="9">
                  <c:v>4.9087838988269923E-12</c:v>
                </c:pt>
                <c:pt idx="10">
                  <c:v>1.0840025764579812E-10</c:v>
                </c:pt>
                <c:pt idx="11">
                  <c:v>1.3528361396632205E-9</c:v>
                </c:pt>
                <c:pt idx="12">
                  <c:v>1.1008906910674926E-8</c:v>
                </c:pt>
                <c:pt idx="13">
                  <c:v>2.9189940621883268E-7</c:v>
                </c:pt>
                <c:pt idx="14">
                  <c:v>3.3485811783292643E-6</c:v>
                </c:pt>
                <c:pt idx="15">
                  <c:v>2.1996265627607357E-5</c:v>
                </c:pt>
                <c:pt idx="16">
                  <c:v>9.7868548920373096E-5</c:v>
                </c:pt>
                <c:pt idx="17">
                  <c:v>3.2817673095557505E-4</c:v>
                </c:pt>
                <c:pt idx="18">
                  <c:v>8.9046224732876236E-4</c:v>
                </c:pt>
                <c:pt idx="19">
                  <c:v>2.967710059802339E-3</c:v>
                </c:pt>
                <c:pt idx="20">
                  <c:v>7.644175418478674E-3</c:v>
                </c:pt>
                <c:pt idx="21">
                  <c:v>1.6333562398887908E-2</c:v>
                </c:pt>
                <c:pt idx="22">
                  <c:v>3.0347803894865542E-2</c:v>
                </c:pt>
                <c:pt idx="23">
                  <c:v>5.0653017934610849E-2</c:v>
                </c:pt>
                <c:pt idx="24">
                  <c:v>7.773091044827754E-2</c:v>
                </c:pt>
                <c:pt idx="25">
                  <c:v>0.11155017123259221</c:v>
                </c:pt>
                <c:pt idx="26">
                  <c:v>0.15162054626821755</c:v>
                </c:pt>
                <c:pt idx="27">
                  <c:v>0.19709392673586168</c:v>
                </c:pt>
                <c:pt idx="28">
                  <c:v>0.24688175850115576</c:v>
                </c:pt>
                <c:pt idx="29">
                  <c:v>0.29976764898628305</c:v>
                </c:pt>
                <c:pt idx="30">
                  <c:v>0.35450332628951325</c:v>
                </c:pt>
                <c:pt idx="31">
                  <c:v>0.42829089891438465</c:v>
                </c:pt>
                <c:pt idx="32">
                  <c:v>0.50065709753641574</c:v>
                </c:pt>
                <c:pt idx="33">
                  <c:v>0.56944988467428803</c:v>
                </c:pt>
                <c:pt idx="34">
                  <c:v>0.63299233645630804</c:v>
                </c:pt>
                <c:pt idx="35">
                  <c:v>0.69007584714522696</c:v>
                </c:pt>
                <c:pt idx="36">
                  <c:v>0.73991911818498879</c:v>
                </c:pt>
                <c:pt idx="37">
                  <c:v>0.78210949369805727</c:v>
                </c:pt>
                <c:pt idx="38">
                  <c:v>0.81653808009520135</c:v>
                </c:pt>
                <c:pt idx="39">
                  <c:v>0.84333593746789948</c:v>
                </c:pt>
                <c:pt idx="40">
                  <c:v>0.86994553306396072</c:v>
                </c:pt>
                <c:pt idx="41">
                  <c:v>0.88167828302342433</c:v>
                </c:pt>
                <c:pt idx="42">
                  <c:v>0.88044827440345008</c:v>
                </c:pt>
                <c:pt idx="43">
                  <c:v>0.86829764144397947</c:v>
                </c:pt>
                <c:pt idx="44">
                  <c:v>0.8472416090628152</c:v>
                </c:pt>
                <c:pt idx="45">
                  <c:v>0.81917025644024133</c:v>
                </c:pt>
                <c:pt idx="46">
                  <c:v>0.78579241062967442</c:v>
                </c:pt>
                <c:pt idx="47">
                  <c:v>0.74860943363411114</c:v>
                </c:pt>
                <c:pt idx="48">
                  <c:v>0.70890928422354016</c:v>
                </c:pt>
                <c:pt idx="49">
                  <c:v>0.66777362643342286</c:v>
                </c:pt>
                <c:pt idx="50">
                  <c:v>0.62609274391391567</c:v>
                </c:pt>
                <c:pt idx="51">
                  <c:v>0.58458458108832845</c:v>
                </c:pt>
                <c:pt idx="52">
                  <c:v>0.50422051530970047</c:v>
                </c:pt>
                <c:pt idx="53">
                  <c:v>0.42975598856911473</c:v>
                </c:pt>
                <c:pt idx="54">
                  <c:v>0.3627585223446359</c:v>
                </c:pt>
                <c:pt idx="55">
                  <c:v>0.30377565293105657</c:v>
                </c:pt>
                <c:pt idx="56">
                  <c:v>0.25270377793895088</c:v>
                </c:pt>
                <c:pt idx="57">
                  <c:v>0.20905339150082358</c:v>
                </c:pt>
                <c:pt idx="58">
                  <c:v>0.1721319205789999</c:v>
                </c:pt>
                <c:pt idx="59">
                  <c:v>0.1411647331197696</c:v>
                </c:pt>
                <c:pt idx="60">
                  <c:v>0.11537160763158641</c:v>
                </c:pt>
                <c:pt idx="61">
                  <c:v>9.4012157578023253E-2</c:v>
                </c:pt>
                <c:pt idx="62">
                  <c:v>7.6410265118660434E-2</c:v>
                </c:pt>
                <c:pt idx="63">
                  <c:v>6.1964773303193443E-2</c:v>
                </c:pt>
                <c:pt idx="64">
                  <c:v>5.0151526815288026E-2</c:v>
                </c:pt>
                <c:pt idx="65">
                  <c:v>4.0520251239548152E-2</c:v>
                </c:pt>
                <c:pt idx="66">
                  <c:v>3.268860672091943E-2</c:v>
                </c:pt>
                <c:pt idx="67">
                  <c:v>2.6334937365811637E-2</c:v>
                </c:pt>
                <c:pt idx="68">
                  <c:v>2.362654650342861E-2</c:v>
                </c:pt>
                <c:pt idx="69">
                  <c:v>2.1190673815105115E-2</c:v>
                </c:pt>
                <c:pt idx="70">
                  <c:v>1.9000833069423486E-2</c:v>
                </c:pt>
                <c:pt idx="71">
                  <c:v>1.7032963268726223E-2</c:v>
                </c:pt>
                <c:pt idx="72">
                  <c:v>1.5265231274454104E-2</c:v>
                </c:pt>
                <c:pt idx="73">
                  <c:v>1.3677846139385635E-2</c:v>
                </c:pt>
                <c:pt idx="74">
                  <c:v>1.2252885317605008E-2</c:v>
                </c:pt>
                <c:pt idx="75">
                  <c:v>1.0974132689961648E-2</c:v>
                </c:pt>
                <c:pt idx="76">
                  <c:v>9.8269281668973436E-3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3B5D-4655-860F-508945DEA815}"/>
            </c:ext>
          </c:extLst>
        </c:ser>
        <c:ser>
          <c:idx val="3"/>
          <c:order val="3"/>
          <c:tx>
            <c:v>PD</c:v>
          </c:tx>
          <c:spPr>
            <a:ln w="19050"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'[1]TRH 10hE'!$L$12:$L$88</c:f>
              <c:numCache>
                <c:formatCode>General</c:formatCode>
                <c:ptCount val="77"/>
                <c:pt idx="0">
                  <c:v>0</c:v>
                </c:pt>
                <c:pt idx="1">
                  <c:v>8.1380208333333339E-3</c:v>
                </c:pt>
                <c:pt idx="2">
                  <c:v>1.6276041666666668E-2</c:v>
                </c:pt>
                <c:pt idx="3">
                  <c:v>2.44140625E-2</c:v>
                </c:pt>
                <c:pt idx="4">
                  <c:v>3.2552083333333336E-2</c:v>
                </c:pt>
                <c:pt idx="5">
                  <c:v>4.0690104166666671E-2</c:v>
                </c:pt>
                <c:pt idx="6">
                  <c:v>4.8828125E-2</c:v>
                </c:pt>
                <c:pt idx="7">
                  <c:v>5.6966145833333336E-2</c:v>
                </c:pt>
                <c:pt idx="8">
                  <c:v>6.5104166666666671E-2</c:v>
                </c:pt>
                <c:pt idx="9">
                  <c:v>7.32421875E-2</c:v>
                </c:pt>
                <c:pt idx="10">
                  <c:v>8.1380208333333343E-2</c:v>
                </c:pt>
                <c:pt idx="11">
                  <c:v>8.9518229166666671E-2</c:v>
                </c:pt>
                <c:pt idx="12">
                  <c:v>9.765625E-2</c:v>
                </c:pt>
                <c:pt idx="13">
                  <c:v>0.11393229166666667</c:v>
                </c:pt>
                <c:pt idx="14">
                  <c:v>0.13020833333333334</c:v>
                </c:pt>
                <c:pt idx="15">
                  <c:v>0.146484375</c:v>
                </c:pt>
                <c:pt idx="16">
                  <c:v>0.16276041666666669</c:v>
                </c:pt>
                <c:pt idx="17">
                  <c:v>0.17903645833333334</c:v>
                </c:pt>
                <c:pt idx="18">
                  <c:v>0.1953125</c:v>
                </c:pt>
                <c:pt idx="19">
                  <c:v>0.2197265625</c:v>
                </c:pt>
                <c:pt idx="20">
                  <c:v>0.244140625</c:v>
                </c:pt>
                <c:pt idx="21">
                  <c:v>0.2685546875</c:v>
                </c:pt>
                <c:pt idx="22">
                  <c:v>0.29296875</c:v>
                </c:pt>
                <c:pt idx="23">
                  <c:v>0.3173828125</c:v>
                </c:pt>
                <c:pt idx="24">
                  <c:v>0.341796875</c:v>
                </c:pt>
                <c:pt idx="25">
                  <c:v>0.3662109375</c:v>
                </c:pt>
                <c:pt idx="26">
                  <c:v>0.390625</c:v>
                </c:pt>
                <c:pt idx="27">
                  <c:v>0.4150390625</c:v>
                </c:pt>
                <c:pt idx="28">
                  <c:v>0.439453125</c:v>
                </c:pt>
                <c:pt idx="29">
                  <c:v>0.4638671875</c:v>
                </c:pt>
                <c:pt idx="30">
                  <c:v>0.48828125</c:v>
                </c:pt>
                <c:pt idx="31">
                  <c:v>0.52083333333333337</c:v>
                </c:pt>
                <c:pt idx="32">
                  <c:v>0.55338541666666674</c:v>
                </c:pt>
                <c:pt idx="33">
                  <c:v>0.5859375</c:v>
                </c:pt>
                <c:pt idx="34">
                  <c:v>0.61848958333333337</c:v>
                </c:pt>
                <c:pt idx="35">
                  <c:v>0.65104166666666674</c:v>
                </c:pt>
                <c:pt idx="36">
                  <c:v>0.68359375</c:v>
                </c:pt>
                <c:pt idx="37">
                  <c:v>0.71614583333333337</c:v>
                </c:pt>
                <c:pt idx="38">
                  <c:v>0.74869791666666674</c:v>
                </c:pt>
                <c:pt idx="39">
                  <c:v>0.78125</c:v>
                </c:pt>
                <c:pt idx="40">
                  <c:v>0.830078125</c:v>
                </c:pt>
                <c:pt idx="41">
                  <c:v>0.87890625</c:v>
                </c:pt>
                <c:pt idx="42">
                  <c:v>0.927734375</c:v>
                </c:pt>
                <c:pt idx="43">
                  <c:v>0.9765625</c:v>
                </c:pt>
                <c:pt idx="44">
                  <c:v>1.025390625</c:v>
                </c:pt>
                <c:pt idx="45">
                  <c:v>1.07421875</c:v>
                </c:pt>
                <c:pt idx="46">
                  <c:v>1.123046875</c:v>
                </c:pt>
                <c:pt idx="47">
                  <c:v>1.171875</c:v>
                </c:pt>
                <c:pt idx="48">
                  <c:v>1.220703125</c:v>
                </c:pt>
                <c:pt idx="49">
                  <c:v>1.26953125</c:v>
                </c:pt>
                <c:pt idx="50">
                  <c:v>1.318359375</c:v>
                </c:pt>
                <c:pt idx="51">
                  <c:v>1.3671875</c:v>
                </c:pt>
                <c:pt idx="52">
                  <c:v>1.46484375</c:v>
                </c:pt>
                <c:pt idx="53">
                  <c:v>1.5625</c:v>
                </c:pt>
                <c:pt idx="54">
                  <c:v>1.66015625</c:v>
                </c:pt>
                <c:pt idx="55">
                  <c:v>1.7578125</c:v>
                </c:pt>
                <c:pt idx="56">
                  <c:v>1.85546875</c:v>
                </c:pt>
                <c:pt idx="57">
                  <c:v>1.953125</c:v>
                </c:pt>
                <c:pt idx="58">
                  <c:v>2.05078125</c:v>
                </c:pt>
                <c:pt idx="59">
                  <c:v>2.1484375</c:v>
                </c:pt>
                <c:pt idx="60">
                  <c:v>2.24609375</c:v>
                </c:pt>
                <c:pt idx="61">
                  <c:v>2.34375</c:v>
                </c:pt>
                <c:pt idx="62">
                  <c:v>2.44140625</c:v>
                </c:pt>
                <c:pt idx="63">
                  <c:v>2.5390625</c:v>
                </c:pt>
                <c:pt idx="64">
                  <c:v>2.63671875</c:v>
                </c:pt>
                <c:pt idx="65">
                  <c:v>2.734375</c:v>
                </c:pt>
                <c:pt idx="66">
                  <c:v>2.83203125</c:v>
                </c:pt>
                <c:pt idx="67">
                  <c:v>2.9296875</c:v>
                </c:pt>
                <c:pt idx="68">
                  <c:v>2.978515625</c:v>
                </c:pt>
                <c:pt idx="69">
                  <c:v>3.02734375</c:v>
                </c:pt>
                <c:pt idx="70">
                  <c:v>3.076171875</c:v>
                </c:pt>
                <c:pt idx="71">
                  <c:v>3.125</c:v>
                </c:pt>
                <c:pt idx="72">
                  <c:v>3.173828125</c:v>
                </c:pt>
                <c:pt idx="73">
                  <c:v>3.22265625</c:v>
                </c:pt>
                <c:pt idx="74">
                  <c:v>3.271484375</c:v>
                </c:pt>
                <c:pt idx="75">
                  <c:v>3.3203125</c:v>
                </c:pt>
                <c:pt idx="76">
                  <c:v>3.369140625</c:v>
                </c:pt>
              </c:numCache>
            </c:numRef>
          </c:xVal>
          <c:yVal>
            <c:numRef>
              <c:f>'[1]TRH 10hE'!$N$12:$N$87</c:f>
              <c:numCache>
                <c:formatCode>General</c:formatCode>
                <c:ptCount val="76"/>
                <c:pt idx="0">
                  <c:v>0.14198526983778209</c:v>
                </c:pt>
                <c:pt idx="1">
                  <c:v>0.14576617863876717</c:v>
                </c:pt>
                <c:pt idx="2">
                  <c:v>0.14961563613687245</c:v>
                </c:pt>
                <c:pt idx="3">
                  <c:v>0.15353377764143869</c:v>
                </c:pt>
                <c:pt idx="4">
                  <c:v>0.15752069719768536</c:v>
                </c:pt>
                <c:pt idx="5">
                  <c:v>0.16157644642433933</c:v>
                </c:pt>
                <c:pt idx="6">
                  <c:v>0.16570103336709086</c:v>
                </c:pt>
                <c:pt idx="7">
                  <c:v>0.16989442136978342</c:v>
                </c:pt>
                <c:pt idx="8">
                  <c:v>0.17415652796526745</c:v>
                </c:pt>
                <c:pt idx="9">
                  <c:v>0.17848722378786705</c:v>
                </c:pt>
                <c:pt idx="10">
                  <c:v>0.18288633150942302</c:v>
                </c:pt>
                <c:pt idx="11">
                  <c:v>0.18735362480089451</c:v>
                </c:pt>
                <c:pt idx="12">
                  <c:v>0.19188882732150622</c:v>
                </c:pt>
                <c:pt idx="13">
                  <c:v>0.20116159877206874</c:v>
                </c:pt>
                <c:pt idx="14">
                  <c:v>0.2107013984151111</c:v>
                </c:pt>
                <c:pt idx="15">
                  <c:v>0.22050411926975924</c:v>
                </c:pt>
                <c:pt idx="16">
                  <c:v>0.23056476850388749</c:v>
                </c:pt>
                <c:pt idx="17">
                  <c:v>0.24087744377223613</c:v>
                </c:pt>
                <c:pt idx="18">
                  <c:v>0.25143531245711925</c:v>
                </c:pt>
                <c:pt idx="19">
                  <c:v>0.26771457052085534</c:v>
                </c:pt>
                <c:pt idx="20">
                  <c:v>0.28449745269814608</c:v>
                </c:pt>
                <c:pt idx="21">
                  <c:v>0.30174868936275234</c:v>
                </c:pt>
                <c:pt idx="22">
                  <c:v>0.31942804186746099</c:v>
                </c:pt>
                <c:pt idx="23">
                  <c:v>0.33749032138128549</c:v>
                </c:pt>
                <c:pt idx="24">
                  <c:v>0.3558854580087138</c:v>
                </c:pt>
                <c:pt idx="25">
                  <c:v>0.37455862231104725</c:v>
                </c:pt>
                <c:pt idx="26">
                  <c:v>0.39345040074440457</c:v>
                </c:pt>
                <c:pt idx="27">
                  <c:v>0.41249702586528669</c:v>
                </c:pt>
                <c:pt idx="28">
                  <c:v>0.43163066144132589</c:v>
                </c:pt>
                <c:pt idx="29">
                  <c:v>0.45077974185201397</c:v>
                </c:pt>
                <c:pt idx="30">
                  <c:v>0.46986936438317956</c:v>
                </c:pt>
                <c:pt idx="31">
                  <c:v>0.49509488454818446</c:v>
                </c:pt>
                <c:pt idx="32">
                  <c:v>0.51988531078183009</c:v>
                </c:pt>
                <c:pt idx="33">
                  <c:v>0.54404453573482114</c:v>
                </c:pt>
                <c:pt idx="34">
                  <c:v>0.56737364294878201</c:v>
                </c:pt>
                <c:pt idx="35">
                  <c:v>0.58967356608822719</c:v>
                </c:pt>
                <c:pt idx="36">
                  <c:v>0.61074786942104742</c:v>
                </c:pt>
                <c:pt idx="37">
                  <c:v>0.6304055964155757</c:v>
                </c:pt>
                <c:pt idx="38">
                  <c:v>0.64846412947901422</c:v>
                </c:pt>
                <c:pt idx="39">
                  <c:v>0.66475200145687874</c:v>
                </c:pt>
                <c:pt idx="40">
                  <c:v>0.68552345629972966</c:v>
                </c:pt>
                <c:pt idx="41">
                  <c:v>0.70149976780137036</c:v>
                </c:pt>
                <c:pt idx="42">
                  <c:v>0.71232024880620415</c:v>
                </c:pt>
                <c:pt idx="43">
                  <c:v>0.71773742900976212</c:v>
                </c:pt>
                <c:pt idx="44">
                  <c:v>0.71762646356907456</c:v>
                </c:pt>
                <c:pt idx="45">
                  <c:v>0.71198991612173579</c:v>
                </c:pt>
                <c:pt idx="46">
                  <c:v>0.70095766032631945</c:v>
                </c:pt>
                <c:pt idx="47">
                  <c:v>0.6847819052046159</c:v>
                </c:pt>
                <c:pt idx="48">
                  <c:v>0.66382761037080595</c:v>
                </c:pt>
                <c:pt idx="49">
                  <c:v>0.63855879978528152</c:v>
                </c:pt>
                <c:pt idx="50">
                  <c:v>0.60952149060884253</c:v>
                </c:pt>
                <c:pt idx="51">
                  <c:v>0.57732411356559776</c:v>
                </c:pt>
                <c:pt idx="52">
                  <c:v>0.50606777755676358</c:v>
                </c:pt>
                <c:pt idx="53">
                  <c:v>0.43009843179877755</c:v>
                </c:pt>
                <c:pt idx="54">
                  <c:v>0.35440285959485557</c:v>
                </c:pt>
                <c:pt idx="55">
                  <c:v>0.28313708784510666</c:v>
                </c:pt>
                <c:pt idx="56">
                  <c:v>0.21931406739142839</c:v>
                </c:pt>
                <c:pt idx="57">
                  <c:v>0.16470485571071214</c:v>
                </c:pt>
                <c:pt idx="58">
                  <c:v>0.11992687067030586</c:v>
                </c:pt>
                <c:pt idx="59">
                  <c:v>8.4663610501059056E-2</c:v>
                </c:pt>
                <c:pt idx="60">
                  <c:v>5.7949174512569736E-2</c:v>
                </c:pt>
                <c:pt idx="61">
                  <c:v>3.8456336344034003E-2</c:v>
                </c:pt>
                <c:pt idx="62">
                  <c:v>2.4743364125923734E-2</c:v>
                </c:pt>
                <c:pt idx="63">
                  <c:v>1.5435466876568419E-2</c:v>
                </c:pt>
                <c:pt idx="64">
                  <c:v>9.3357879555766281E-3</c:v>
                </c:pt>
                <c:pt idx="65">
                  <c:v>5.4745997456703503E-3</c:v>
                </c:pt>
                <c:pt idx="66">
                  <c:v>3.112604577896669E-3</c:v>
                </c:pt>
                <c:pt idx="67">
                  <c:v>1.7157962561553568E-3</c:v>
                </c:pt>
                <c:pt idx="68">
                  <c:v>1.2592165332914354E-3</c:v>
                </c:pt>
                <c:pt idx="69">
                  <c:v>9.1701758713519518E-4</c:v>
                </c:pt>
                <c:pt idx="70">
                  <c:v>6.6267022723611021E-4</c:v>
                </c:pt>
                <c:pt idx="71">
                  <c:v>4.7518180076485376E-4</c:v>
                </c:pt>
                <c:pt idx="72">
                  <c:v>3.3811519261259964E-4</c:v>
                </c:pt>
                <c:pt idx="73">
                  <c:v>2.3873281453056495E-4</c:v>
                </c:pt>
                <c:pt idx="74">
                  <c:v>1.6726385315333727E-4</c:v>
                </c:pt>
                <c:pt idx="75">
                  <c:v>1.1628792531350749E-4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3B5D-4655-860F-508945DEA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27887184"/>
        <c:axId val="-1827879568"/>
      </c:scatterChart>
      <c:valAx>
        <c:axId val="-1827887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CO" b="1" i="0" baseline="0"/>
                </a:pPr>
                <a:r>
                  <a:rPr lang="el-GR" b="1" i="0" baseline="0"/>
                  <a:t>θ =(</a:t>
                </a:r>
                <a:r>
                  <a:rPr lang="es-CO" b="1" i="0" baseline="0"/>
                  <a:t>t/TRHt)</a:t>
                </a:r>
              </a:p>
            </c:rich>
          </c:tx>
          <c:layout>
            <c:manualLayout>
              <c:xMode val="edge"/>
              <c:yMode val="edge"/>
              <c:x val="0.37836395450568688"/>
              <c:y val="0.934307826906251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MX"/>
          </a:p>
        </c:txPr>
        <c:crossAx val="-1827879568"/>
        <c:crosses val="autoZero"/>
        <c:crossBetween val="midCat"/>
      </c:valAx>
      <c:valAx>
        <c:axId val="-182787956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CO" b="1" i="0" baseline="0"/>
                </a:pPr>
                <a:r>
                  <a:rPr lang="es-CO" b="1" i="0" baseline="0"/>
                  <a:t>E(</a:t>
                </a:r>
                <a:r>
                  <a:rPr lang="el-GR" b="1" i="0" baseline="0"/>
                  <a:t>θ)</a:t>
                </a:r>
              </a:p>
            </c:rich>
          </c:tx>
          <c:layout>
            <c:manualLayout>
              <c:xMode val="edge"/>
              <c:yMode val="edge"/>
              <c:x val="2.8880921134858139E-2"/>
              <c:y val="0.3676963456491018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/>
            </a:pPr>
            <a:endParaRPr lang="es-MX"/>
          </a:p>
        </c:txPr>
        <c:crossAx val="-182788718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18536698537683496"/>
          <c:y val="0.8359787334275709"/>
          <c:w val="0.47684340566779398"/>
          <c:h val="6.1365367790564625E-2"/>
        </c:manualLayout>
      </c:layout>
      <c:overlay val="0"/>
      <c:txPr>
        <a:bodyPr/>
        <a:lstStyle/>
        <a:p>
          <a:pPr>
            <a:defRPr lang="es-CO"/>
          </a:pPr>
          <a:endParaRPr lang="es-MX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ahoma" pitchFamily="34" charset="0"/>
          <a:ea typeface="Arial"/>
          <a:cs typeface="Arial"/>
        </a:defRPr>
      </a:pPr>
      <a:endParaRPr lang="es-MX"/>
    </a:p>
  </c:txPr>
  <c:printSettings>
    <c:headerFooter alignWithMargins="0"/>
    <c:pageMargins b="1" l="0.75000000000001465" r="0.75000000000001465" t="1" header="0" footer="0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CO"/>
            </a:pPr>
            <a:r>
              <a:rPr lang="es-MX"/>
              <a:t>TRH 10 h. Efuente</a:t>
            </a:r>
          </a:p>
        </c:rich>
      </c:tx>
      <c:layout>
        <c:manualLayout>
          <c:xMode val="edge"/>
          <c:yMode val="edge"/>
          <c:x val="0.41856799368610392"/>
          <c:y val="3.38028874042576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78641043995394"/>
          <c:y val="0.1215683529755467"/>
          <c:w val="0.77272000857796863"/>
          <c:h val="0.61817756793049972"/>
        </c:manualLayout>
      </c:layout>
      <c:scatterChart>
        <c:scatterStyle val="lineMarker"/>
        <c:varyColors val="0"/>
        <c:ser>
          <c:idx val="4"/>
          <c:order val="0"/>
          <c:spPr>
            <a:ln w="12700">
              <a:solidFill>
                <a:srgbClr val="0000CC"/>
              </a:solidFill>
            </a:ln>
          </c:spPr>
          <c:marker>
            <c:symbol val="star"/>
            <c:size val="3"/>
            <c:spPr>
              <a:ln>
                <a:solidFill>
                  <a:srgbClr val="0000CC"/>
                </a:solidFill>
              </a:ln>
            </c:spPr>
          </c:marker>
          <c:trendline>
            <c:trendlineType val="exp"/>
            <c:dispRSqr val="1"/>
            <c:dispEq val="1"/>
            <c:trendlineLbl>
              <c:layout>
                <c:manualLayout>
                  <c:x val="-0.17745381128058288"/>
                  <c:y val="-3.47973831251574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lang="es-CO"/>
                  </a:pPr>
                  <a:endParaRPr lang="es-MX"/>
                </a:p>
              </c:txPr>
            </c:trendlineLbl>
          </c:trendline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1"/>
            <c:trendlineLbl>
              <c:layout>
                <c:manualLayout>
                  <c:x val="-0.20304433296451871"/>
                  <c:y val="-7.7232988114604703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lang="es-CO"/>
                  </a:pPr>
                  <a:endParaRPr lang="es-MX"/>
                </a:p>
              </c:txPr>
            </c:trendlineLbl>
          </c:trendline>
          <c:xVal>
            <c:numRef>
              <c:f>'[1]TRH 10hE'!$L$47:$L$87</c:f>
              <c:numCache>
                <c:formatCode>General</c:formatCode>
                <c:ptCount val="41"/>
                <c:pt idx="0">
                  <c:v>0.65104166666666674</c:v>
                </c:pt>
                <c:pt idx="1">
                  <c:v>0.68359375</c:v>
                </c:pt>
                <c:pt idx="2">
                  <c:v>0.71614583333333337</c:v>
                </c:pt>
                <c:pt idx="3">
                  <c:v>0.74869791666666674</c:v>
                </c:pt>
                <c:pt idx="4">
                  <c:v>0.78125</c:v>
                </c:pt>
                <c:pt idx="5">
                  <c:v>0.830078125</c:v>
                </c:pt>
                <c:pt idx="6">
                  <c:v>0.87890625</c:v>
                </c:pt>
                <c:pt idx="7">
                  <c:v>0.927734375</c:v>
                </c:pt>
                <c:pt idx="8">
                  <c:v>0.9765625</c:v>
                </c:pt>
                <c:pt idx="9">
                  <c:v>1.025390625</c:v>
                </c:pt>
                <c:pt idx="10">
                  <c:v>1.07421875</c:v>
                </c:pt>
                <c:pt idx="11">
                  <c:v>1.123046875</c:v>
                </c:pt>
                <c:pt idx="12">
                  <c:v>1.171875</c:v>
                </c:pt>
                <c:pt idx="13">
                  <c:v>1.220703125</c:v>
                </c:pt>
                <c:pt idx="14">
                  <c:v>1.26953125</c:v>
                </c:pt>
                <c:pt idx="15">
                  <c:v>1.318359375</c:v>
                </c:pt>
                <c:pt idx="16">
                  <c:v>1.3671875</c:v>
                </c:pt>
                <c:pt idx="17">
                  <c:v>1.46484375</c:v>
                </c:pt>
                <c:pt idx="18">
                  <c:v>1.5625</c:v>
                </c:pt>
                <c:pt idx="19">
                  <c:v>1.66015625</c:v>
                </c:pt>
                <c:pt idx="20">
                  <c:v>1.7578125</c:v>
                </c:pt>
                <c:pt idx="21">
                  <c:v>1.85546875</c:v>
                </c:pt>
                <c:pt idx="22">
                  <c:v>1.953125</c:v>
                </c:pt>
                <c:pt idx="23">
                  <c:v>2.05078125</c:v>
                </c:pt>
                <c:pt idx="24">
                  <c:v>2.1484375</c:v>
                </c:pt>
                <c:pt idx="25">
                  <c:v>2.24609375</c:v>
                </c:pt>
                <c:pt idx="26">
                  <c:v>2.34375</c:v>
                </c:pt>
                <c:pt idx="27">
                  <c:v>2.44140625</c:v>
                </c:pt>
                <c:pt idx="28">
                  <c:v>2.5390625</c:v>
                </c:pt>
                <c:pt idx="29">
                  <c:v>2.63671875</c:v>
                </c:pt>
                <c:pt idx="30">
                  <c:v>2.734375</c:v>
                </c:pt>
                <c:pt idx="31">
                  <c:v>2.83203125</c:v>
                </c:pt>
                <c:pt idx="32">
                  <c:v>2.9296875</c:v>
                </c:pt>
                <c:pt idx="33">
                  <c:v>2.978515625</c:v>
                </c:pt>
                <c:pt idx="34">
                  <c:v>3.02734375</c:v>
                </c:pt>
                <c:pt idx="35">
                  <c:v>3.076171875</c:v>
                </c:pt>
                <c:pt idx="36">
                  <c:v>3.125</c:v>
                </c:pt>
                <c:pt idx="37">
                  <c:v>3.173828125</c:v>
                </c:pt>
                <c:pt idx="38">
                  <c:v>3.22265625</c:v>
                </c:pt>
                <c:pt idx="39">
                  <c:v>3.271484375</c:v>
                </c:pt>
                <c:pt idx="40">
                  <c:v>3.3203125</c:v>
                </c:pt>
              </c:numCache>
            </c:numRef>
          </c:xVal>
          <c:yVal>
            <c:numRef>
              <c:f>'[1]TRH 10hE'!$AB$47:$AB$87</c:f>
              <c:numCache>
                <c:formatCode>General</c:formatCode>
                <c:ptCount val="41"/>
                <c:pt idx="0">
                  <c:v>1.6847242241996942E-2</c:v>
                </c:pt>
                <c:pt idx="1">
                  <c:v>1.6847242241996942E-2</c:v>
                </c:pt>
                <c:pt idx="2">
                  <c:v>-3.8028181385985578E-2</c:v>
                </c:pt>
                <c:pt idx="3">
                  <c:v>-6.6638070469642749E-2</c:v>
                </c:pt>
                <c:pt idx="4">
                  <c:v>-0.11114876043007629</c:v>
                </c:pt>
                <c:pt idx="5">
                  <c:v>-0.14719203755394852</c:v>
                </c:pt>
                <c:pt idx="6">
                  <c:v>-0.2463200785119688</c:v>
                </c:pt>
                <c:pt idx="7">
                  <c:v>-0.17375656445379811</c:v>
                </c:pt>
                <c:pt idx="8">
                  <c:v>-0.17375656445379811</c:v>
                </c:pt>
                <c:pt idx="9">
                  <c:v>-0.26974968151799522</c:v>
                </c:pt>
                <c:pt idx="10">
                  <c:v>-0.38255791342155798</c:v>
                </c:pt>
                <c:pt idx="11">
                  <c:v>-0.53259055481603956</c:v>
                </c:pt>
                <c:pt idx="12">
                  <c:v>-0.7091751998867506</c:v>
                </c:pt>
                <c:pt idx="13">
                  <c:v>-0.77571943441826385</c:v>
                </c:pt>
                <c:pt idx="14">
                  <c:v>-0.86834772634202728</c:v>
                </c:pt>
                <c:pt idx="15">
                  <c:v>-1.0069263118768019</c:v>
                </c:pt>
                <c:pt idx="16">
                  <c:v>-1.0577425076405831</c:v>
                </c:pt>
                <c:pt idx="17">
                  <c:v>-1.2752589038760893</c:v>
                </c:pt>
                <c:pt idx="18">
                  <c:v>-1.4140526117139076</c:v>
                </c:pt>
                <c:pt idx="19">
                  <c:v>-1.6910473146052556</c:v>
                </c:pt>
                <c:pt idx="20">
                  <c:v>-1.7675527981270678</c:v>
                </c:pt>
                <c:pt idx="21">
                  <c:v>-1.940735703474918</c:v>
                </c:pt>
                <c:pt idx="22">
                  <c:v>-2.1121999892658505</c:v>
                </c:pt>
                <c:pt idx="23">
                  <c:v>-2.1503259853659205</c:v>
                </c:pt>
                <c:pt idx="24">
                  <c:v>-2.3192755102253977</c:v>
                </c:pt>
                <c:pt idx="25">
                  <c:v>-2.4158196555431828</c:v>
                </c:pt>
                <c:pt idx="26">
                  <c:v>-2.6423644843451113</c:v>
                </c:pt>
                <c:pt idx="27">
                  <c:v>-2.7783324633192286</c:v>
                </c:pt>
                <c:pt idx="28">
                  <c:v>-2.9357411877994695</c:v>
                </c:pt>
                <c:pt idx="29">
                  <c:v>-3.2310669002269767</c:v>
                </c:pt>
                <c:pt idx="30">
                  <c:v>-3.3526937775685899</c:v>
                </c:pt>
                <c:pt idx="31">
                  <c:v>-3.4911890625861148</c:v>
                </c:pt>
                <c:pt idx="32">
                  <c:v>-3.4911890625861148</c:v>
                </c:pt>
                <c:pt idx="33">
                  <c:v>-3.6519968289487492</c:v>
                </c:pt>
                <c:pt idx="34">
                  <c:v>-3.8437133927985339</c:v>
                </c:pt>
                <c:pt idx="35">
                  <c:v>-3.8437133927985339</c:v>
                </c:pt>
                <c:pt idx="36">
                  <c:v>-3.8437133927985339</c:v>
                </c:pt>
                <c:pt idx="37">
                  <c:v>-3.8437133927985339</c:v>
                </c:pt>
                <c:pt idx="38">
                  <c:v>-3.6519968289487492</c:v>
                </c:pt>
                <c:pt idx="39">
                  <c:v>-3.8437133927985339</c:v>
                </c:pt>
                <c:pt idx="40">
                  <c:v>-4.0811170559295773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D7DB-4760-8A8F-09C5D6121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27882288"/>
        <c:axId val="-1827880656"/>
      </c:scatterChart>
      <c:valAx>
        <c:axId val="-1827882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CO" b="1" i="0" baseline="0"/>
                </a:pPr>
                <a:r>
                  <a:rPr lang="el-GR" b="1" i="0" baseline="0"/>
                  <a:t>θ =(</a:t>
                </a:r>
                <a:r>
                  <a:rPr lang="es-CO" b="1" i="0" baseline="0"/>
                  <a:t>t/TRHt)</a:t>
                </a:r>
              </a:p>
            </c:rich>
          </c:tx>
          <c:layout>
            <c:manualLayout>
              <c:xMode val="edge"/>
              <c:yMode val="edge"/>
              <c:x val="0.37836395450568688"/>
              <c:y val="0.934307826906251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MX"/>
          </a:p>
        </c:txPr>
        <c:crossAx val="-1827880656"/>
        <c:crosses val="autoZero"/>
        <c:crossBetween val="midCat"/>
      </c:valAx>
      <c:valAx>
        <c:axId val="-18278806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CO" b="1" i="0" baseline="0"/>
                </a:pPr>
                <a:r>
                  <a:rPr lang="es-CO" b="1" i="0" baseline="0"/>
                  <a:t>C/Co</a:t>
                </a:r>
                <a:endParaRPr lang="el-GR" b="1" i="0" baseline="0"/>
              </a:p>
            </c:rich>
          </c:tx>
          <c:layout>
            <c:manualLayout>
              <c:xMode val="edge"/>
              <c:yMode val="edge"/>
              <c:x val="2.8880874835178087E-2"/>
              <c:y val="0.4189783969311591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/>
            </a:pPr>
            <a:endParaRPr lang="es-MX"/>
          </a:p>
        </c:txPr>
        <c:crossAx val="-182788228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ahoma" pitchFamily="34" charset="0"/>
          <a:ea typeface="Arial"/>
          <a:cs typeface="Arial"/>
        </a:defRPr>
      </a:pPr>
      <a:endParaRPr lang="es-MX"/>
    </a:p>
  </c:txPr>
  <c:printSettings>
    <c:headerFooter alignWithMargins="0"/>
    <c:pageMargins b="1" l="0.75000000000001465" r="0.75000000000001465" t="1" header="0" footer="0"/>
    <c:pageSetup orientation="portrait" horizontalDpi="300" verticalDpi="30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CO"/>
            </a:pPr>
            <a:r>
              <a:rPr lang="es-MX"/>
              <a:t>TRH 10 h. Punto 4</a:t>
            </a:r>
          </a:p>
        </c:rich>
      </c:tx>
      <c:layout>
        <c:manualLayout>
          <c:xMode val="edge"/>
          <c:yMode val="edge"/>
          <c:x val="0.31227431039786707"/>
          <c:y val="3.38029520503485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211467873916138"/>
          <c:y val="0.16044619422572681"/>
          <c:w val="0.72282468486505602"/>
          <c:h val="0.6296922572178681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exp"/>
            <c:dispRSqr val="1"/>
            <c:dispEq val="1"/>
            <c:trendlineLbl>
              <c:layout>
                <c:manualLayout>
                  <c:x val="-0.23223483304368969"/>
                  <c:y val="-0.4634719047215872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lang="es-CO"/>
                  </a:pPr>
                  <a:endParaRPr lang="es-MX"/>
                </a:p>
              </c:txPr>
            </c:trendlineLbl>
          </c:trendline>
          <c:xVal>
            <c:numRef>
              <c:f>'[1]TRH 10hP4'!$N$16:$N$81</c:f>
              <c:numCache>
                <c:formatCode>General</c:formatCode>
                <c:ptCount val="66"/>
                <c:pt idx="0">
                  <c:v>5.612617163383285E-2</c:v>
                </c:pt>
                <c:pt idx="1">
                  <c:v>7.0157714542291069E-2</c:v>
                </c:pt>
                <c:pt idx="2">
                  <c:v>8.4189257450749275E-2</c:v>
                </c:pt>
                <c:pt idx="3">
                  <c:v>9.8220800359207494E-2</c:v>
                </c:pt>
                <c:pt idx="4">
                  <c:v>0.1122523432676657</c:v>
                </c:pt>
                <c:pt idx="5">
                  <c:v>0.12628388617612391</c:v>
                </c:pt>
                <c:pt idx="6">
                  <c:v>0.14031542908458214</c:v>
                </c:pt>
                <c:pt idx="7">
                  <c:v>0.15434697199304034</c:v>
                </c:pt>
                <c:pt idx="8">
                  <c:v>0.16837851490149855</c:v>
                </c:pt>
                <c:pt idx="9">
                  <c:v>0.19644160071841499</c:v>
                </c:pt>
                <c:pt idx="10">
                  <c:v>0.2245046865353314</c:v>
                </c:pt>
                <c:pt idx="11">
                  <c:v>0.25256777235224781</c:v>
                </c:pt>
                <c:pt idx="12">
                  <c:v>0.28063085816916428</c:v>
                </c:pt>
                <c:pt idx="13">
                  <c:v>0.30869394398608069</c:v>
                </c:pt>
                <c:pt idx="14">
                  <c:v>0.3367570298029971</c:v>
                </c:pt>
                <c:pt idx="15">
                  <c:v>0.37885165852837177</c:v>
                </c:pt>
                <c:pt idx="16">
                  <c:v>0.42094628725374639</c:v>
                </c:pt>
                <c:pt idx="17">
                  <c:v>0.463040915979121</c:v>
                </c:pt>
                <c:pt idx="18">
                  <c:v>0.50513554470449562</c:v>
                </c:pt>
                <c:pt idx="19">
                  <c:v>0.54723017342987035</c:v>
                </c:pt>
                <c:pt idx="20">
                  <c:v>0.58932480215524496</c:v>
                </c:pt>
                <c:pt idx="21">
                  <c:v>0.63141943088061958</c:v>
                </c:pt>
                <c:pt idx="22">
                  <c:v>0.6735140596059942</c:v>
                </c:pt>
                <c:pt idx="23">
                  <c:v>0.71560868833136881</c:v>
                </c:pt>
                <c:pt idx="24">
                  <c:v>0.75770331705674354</c:v>
                </c:pt>
                <c:pt idx="25">
                  <c:v>0.79979794578211816</c:v>
                </c:pt>
                <c:pt idx="26">
                  <c:v>0.84189257450749277</c:v>
                </c:pt>
                <c:pt idx="27">
                  <c:v>0.8980187461413256</c:v>
                </c:pt>
                <c:pt idx="28">
                  <c:v>0.95414491777515842</c:v>
                </c:pt>
                <c:pt idx="29">
                  <c:v>1.0102710894089912</c:v>
                </c:pt>
                <c:pt idx="30">
                  <c:v>1.0663972610428241</c:v>
                </c:pt>
                <c:pt idx="31">
                  <c:v>1.1225234326766571</c:v>
                </c:pt>
                <c:pt idx="32">
                  <c:v>1.1786496043104899</c:v>
                </c:pt>
                <c:pt idx="33">
                  <c:v>1.2347757759443228</c:v>
                </c:pt>
                <c:pt idx="34">
                  <c:v>1.2909019475781556</c:v>
                </c:pt>
                <c:pt idx="35">
                  <c:v>1.3470281192119884</c:v>
                </c:pt>
                <c:pt idx="36">
                  <c:v>1.4312173766627376</c:v>
                </c:pt>
                <c:pt idx="37">
                  <c:v>1.5154066341134871</c:v>
                </c:pt>
                <c:pt idx="38">
                  <c:v>1.5995958915642363</c:v>
                </c:pt>
                <c:pt idx="39">
                  <c:v>1.6837851490149855</c:v>
                </c:pt>
                <c:pt idx="40">
                  <c:v>1.7679744064657348</c:v>
                </c:pt>
                <c:pt idx="41">
                  <c:v>1.852163663916484</c:v>
                </c:pt>
                <c:pt idx="42">
                  <c:v>1.9363529213672335</c:v>
                </c:pt>
                <c:pt idx="43">
                  <c:v>2.0205421788179825</c:v>
                </c:pt>
                <c:pt idx="44">
                  <c:v>2.1047314362687319</c:v>
                </c:pt>
                <c:pt idx="45">
                  <c:v>2.1889206937194814</c:v>
                </c:pt>
                <c:pt idx="46">
                  <c:v>2.2731099511702304</c:v>
                </c:pt>
                <c:pt idx="47">
                  <c:v>2.3572992086209799</c:v>
                </c:pt>
                <c:pt idx="48">
                  <c:v>2.5256777235224783</c:v>
                </c:pt>
                <c:pt idx="49">
                  <c:v>2.6940562384239768</c:v>
                </c:pt>
                <c:pt idx="50">
                  <c:v>2.8624347533254753</c:v>
                </c:pt>
                <c:pt idx="51">
                  <c:v>3.0308132682269742</c:v>
                </c:pt>
                <c:pt idx="52">
                  <c:v>3.1991917831284726</c:v>
                </c:pt>
                <c:pt idx="53">
                  <c:v>3.3675702980299711</c:v>
                </c:pt>
                <c:pt idx="54">
                  <c:v>3.5359488129314696</c:v>
                </c:pt>
                <c:pt idx="55">
                  <c:v>3.704327327832968</c:v>
                </c:pt>
                <c:pt idx="56">
                  <c:v>3.8727058427344669</c:v>
                </c:pt>
                <c:pt idx="57">
                  <c:v>4.041084357635965</c:v>
                </c:pt>
                <c:pt idx="58">
                  <c:v>4.2094628725374639</c:v>
                </c:pt>
                <c:pt idx="59">
                  <c:v>4.3778413874389628</c:v>
                </c:pt>
                <c:pt idx="60">
                  <c:v>4.5462199023404608</c:v>
                </c:pt>
                <c:pt idx="61">
                  <c:v>4.7145984172419597</c:v>
                </c:pt>
                <c:pt idx="62">
                  <c:v>4.8829769321434577</c:v>
                </c:pt>
                <c:pt idx="63">
                  <c:v>5.0513554470449566</c:v>
                </c:pt>
                <c:pt idx="64">
                  <c:v>5.1355447044957057</c:v>
                </c:pt>
                <c:pt idx="65">
                  <c:v>5.2197339619464556</c:v>
                </c:pt>
              </c:numCache>
            </c:numRef>
          </c:xVal>
          <c:yVal>
            <c:numRef>
              <c:f>'[1]TRH 10hP4'!$O$16:$O$81</c:f>
              <c:numCache>
                <c:formatCode>General</c:formatCode>
                <c:ptCount val="66"/>
                <c:pt idx="0">
                  <c:v>8.6621232353262273E-2</c:v>
                </c:pt>
                <c:pt idx="1">
                  <c:v>0.10761675610759786</c:v>
                </c:pt>
                <c:pt idx="2">
                  <c:v>0.22571657722573546</c:v>
                </c:pt>
                <c:pt idx="3">
                  <c:v>0.30444979130449384</c:v>
                </c:pt>
                <c:pt idx="4">
                  <c:v>0.30969867224307779</c:v>
                </c:pt>
                <c:pt idx="5">
                  <c:v>0.34119195787458118</c:v>
                </c:pt>
                <c:pt idx="6">
                  <c:v>0.33594307693599729</c:v>
                </c:pt>
                <c:pt idx="7">
                  <c:v>0.31494755318166168</c:v>
                </c:pt>
                <c:pt idx="8">
                  <c:v>0.37530968397537645</c:v>
                </c:pt>
                <c:pt idx="9">
                  <c:v>0.19159885112494016</c:v>
                </c:pt>
                <c:pt idx="10">
                  <c:v>0.30444979130449384</c:v>
                </c:pt>
                <c:pt idx="11">
                  <c:v>0.27033206520369857</c:v>
                </c:pt>
                <c:pt idx="12">
                  <c:v>0.446169576646259</c:v>
                </c:pt>
                <c:pt idx="13">
                  <c:v>0.46191621946201067</c:v>
                </c:pt>
                <c:pt idx="14">
                  <c:v>0.58526492151873222</c:v>
                </c:pt>
                <c:pt idx="15">
                  <c:v>0.65874925465890677</c:v>
                </c:pt>
                <c:pt idx="16">
                  <c:v>0.58526492151873222</c:v>
                </c:pt>
                <c:pt idx="17">
                  <c:v>0.57739160011085644</c:v>
                </c:pt>
                <c:pt idx="18">
                  <c:v>0.61413376668094366</c:v>
                </c:pt>
                <c:pt idx="19">
                  <c:v>0.60888488574235966</c:v>
                </c:pt>
                <c:pt idx="20">
                  <c:v>0.56689383823368866</c:v>
                </c:pt>
                <c:pt idx="21">
                  <c:v>0.54064943354076911</c:v>
                </c:pt>
                <c:pt idx="22">
                  <c:v>0.51965390978643355</c:v>
                </c:pt>
                <c:pt idx="23">
                  <c:v>0.51702946931714155</c:v>
                </c:pt>
                <c:pt idx="24">
                  <c:v>0.48553618368563828</c:v>
                </c:pt>
                <c:pt idx="25">
                  <c:v>0.49603394556280606</c:v>
                </c:pt>
                <c:pt idx="26">
                  <c:v>0.47766286227776245</c:v>
                </c:pt>
                <c:pt idx="27">
                  <c:v>0.43567181476909123</c:v>
                </c:pt>
                <c:pt idx="28">
                  <c:v>0.43042293383050739</c:v>
                </c:pt>
                <c:pt idx="29">
                  <c:v>0.43042293383050739</c:v>
                </c:pt>
                <c:pt idx="30">
                  <c:v>0.38843188632183623</c:v>
                </c:pt>
                <c:pt idx="31">
                  <c:v>0.37006080303679256</c:v>
                </c:pt>
                <c:pt idx="32">
                  <c:v>0.3543141602210409</c:v>
                </c:pt>
                <c:pt idx="33">
                  <c:v>0.3306941959974134</c:v>
                </c:pt>
                <c:pt idx="34">
                  <c:v>0.3306941959974134</c:v>
                </c:pt>
                <c:pt idx="35">
                  <c:v>0.29132758895803412</c:v>
                </c:pt>
                <c:pt idx="36">
                  <c:v>0.27295650567299051</c:v>
                </c:pt>
                <c:pt idx="37">
                  <c:v>0.25458542238794685</c:v>
                </c:pt>
                <c:pt idx="38">
                  <c:v>0.23358989863361132</c:v>
                </c:pt>
                <c:pt idx="39">
                  <c:v>0.22046769628715154</c:v>
                </c:pt>
                <c:pt idx="40">
                  <c:v>0.2178432558178596</c:v>
                </c:pt>
                <c:pt idx="41">
                  <c:v>0.1942232915942321</c:v>
                </c:pt>
                <c:pt idx="42">
                  <c:v>0.18634997018635624</c:v>
                </c:pt>
                <c:pt idx="43">
                  <c:v>0.17585220830918846</c:v>
                </c:pt>
                <c:pt idx="44">
                  <c:v>0.16273000596272874</c:v>
                </c:pt>
                <c:pt idx="45">
                  <c:v>0.18110108924777238</c:v>
                </c:pt>
                <c:pt idx="46">
                  <c:v>0.1601055654934368</c:v>
                </c:pt>
                <c:pt idx="47">
                  <c:v>0.17060332737060455</c:v>
                </c:pt>
                <c:pt idx="48">
                  <c:v>0.15485668455485291</c:v>
                </c:pt>
                <c:pt idx="49">
                  <c:v>0.12073895845405758</c:v>
                </c:pt>
                <c:pt idx="50">
                  <c:v>9.4494553761138106E-2</c:v>
                </c:pt>
                <c:pt idx="51">
                  <c:v>7.6123470476094482E-2</c:v>
                </c:pt>
                <c:pt idx="52">
                  <c:v>6.300126812963476E-2</c:v>
                </c:pt>
                <c:pt idx="53">
                  <c:v>5.5127946721758921E-2</c:v>
                </c:pt>
                <c:pt idx="54">
                  <c:v>4.9879065783175025E-2</c:v>
                </c:pt>
                <c:pt idx="55">
                  <c:v>4.2005744375299185E-2</c:v>
                </c:pt>
                <c:pt idx="56">
                  <c:v>3.4132422967423345E-2</c:v>
                </c:pt>
                <c:pt idx="57">
                  <c:v>3.4132422967423345E-2</c:v>
                </c:pt>
                <c:pt idx="58">
                  <c:v>2.3634661090255561E-2</c:v>
                </c:pt>
                <c:pt idx="59">
                  <c:v>1.8385780151671666E-2</c:v>
                </c:pt>
                <c:pt idx="60">
                  <c:v>1.0512458743795822E-2</c:v>
                </c:pt>
                <c:pt idx="61">
                  <c:v>7.8880182745038763E-3</c:v>
                </c:pt>
                <c:pt idx="62">
                  <c:v>5.2635778052119277E-3</c:v>
                </c:pt>
                <c:pt idx="63">
                  <c:v>2.6391373359199825E-3</c:v>
                </c:pt>
                <c:pt idx="64">
                  <c:v>2.6391373359199825E-3</c:v>
                </c:pt>
                <c:pt idx="65">
                  <c:v>1.4696866628035513E-5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DB02-47D0-B76F-052C9A257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27890992"/>
        <c:axId val="-1827890448"/>
      </c:scatterChart>
      <c:valAx>
        <c:axId val="-1827890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CO" b="1" i="0" baseline="0"/>
                </a:pPr>
                <a:r>
                  <a:rPr lang="el-GR" b="1" i="0" baseline="0"/>
                  <a:t>θ =(</a:t>
                </a:r>
                <a:r>
                  <a:rPr lang="es-CO" b="1" i="0" baseline="0"/>
                  <a:t>t/TRHt)</a:t>
                </a:r>
              </a:p>
            </c:rich>
          </c:tx>
          <c:layout>
            <c:manualLayout>
              <c:xMode val="edge"/>
              <c:yMode val="edge"/>
              <c:x val="0.37836397834469276"/>
              <c:y val="0.93430784861569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MX"/>
          </a:p>
        </c:txPr>
        <c:crossAx val="-1827890448"/>
        <c:crosses val="autoZero"/>
        <c:crossBetween val="midCat"/>
      </c:valAx>
      <c:valAx>
        <c:axId val="-182789044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CO" b="1" i="0" baseline="0"/>
                </a:pPr>
                <a:r>
                  <a:rPr lang="es-CO" b="1" i="0" baseline="0"/>
                  <a:t>E(</a:t>
                </a:r>
                <a:r>
                  <a:rPr lang="el-GR" b="1" i="0" baseline="0"/>
                  <a:t>θ)</a:t>
                </a:r>
              </a:p>
            </c:rich>
          </c:tx>
          <c:layout>
            <c:manualLayout>
              <c:xMode val="edge"/>
              <c:yMode val="edge"/>
              <c:x val="2.8880974346871494E-2"/>
              <c:y val="0.495774842660796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/>
            </a:pPr>
            <a:endParaRPr lang="es-MX"/>
          </a:p>
        </c:txPr>
        <c:crossAx val="-182789099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ahoma" pitchFamily="34" charset="0"/>
          <a:ea typeface="Arial"/>
          <a:cs typeface="Arial"/>
        </a:defRPr>
      </a:pPr>
      <a:endParaRPr lang="es-MX"/>
    </a:p>
  </c:txPr>
  <c:printSettings>
    <c:headerFooter alignWithMargins="0"/>
    <c:pageMargins b="1" l="0.75000000000001465" r="0.75000000000001465" t="1" header="0" footer="0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CO"/>
            </a:pPr>
            <a:r>
              <a:rPr lang="es-MX"/>
              <a:t>TRH 10 h. Punto 4</a:t>
            </a:r>
          </a:p>
        </c:rich>
      </c:tx>
      <c:layout>
        <c:manualLayout>
          <c:xMode val="edge"/>
          <c:yMode val="edge"/>
          <c:x val="0.31227423392679832"/>
          <c:y val="3.38028131098998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451606737435244"/>
          <c:y val="0.13000707756175023"/>
          <c:w val="0.77272000857796863"/>
          <c:h val="0.61817756793049972"/>
        </c:manualLayout>
      </c:layout>
      <c:scatterChart>
        <c:scatterStyle val="lineMarker"/>
        <c:varyColors val="0"/>
        <c:ser>
          <c:idx val="0"/>
          <c:order val="0"/>
          <c:tx>
            <c:v>Dato exp</c:v>
          </c:tx>
          <c:spPr>
            <a:ln w="15875">
              <a:solidFill>
                <a:schemeClr val="tx1"/>
              </a:solidFill>
              <a:prstDash val="solid"/>
            </a:ln>
          </c:spPr>
          <c:marker>
            <c:symbol val="triangle"/>
            <c:size val="4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trendline>
            <c:trendlineType val="log"/>
            <c:dispRSqr val="0"/>
            <c:dispEq val="0"/>
          </c:trendline>
          <c:xVal>
            <c:numRef>
              <c:f>'[1]TRH 10hP4'!$N$12:$N$88</c:f>
              <c:numCache>
                <c:formatCode>General</c:formatCode>
                <c:ptCount val="77"/>
                <c:pt idx="0">
                  <c:v>0</c:v>
                </c:pt>
                <c:pt idx="1">
                  <c:v>1.4031542908458212E-2</c:v>
                </c:pt>
                <c:pt idx="2">
                  <c:v>2.8063085816916425E-2</c:v>
                </c:pt>
                <c:pt idx="3">
                  <c:v>4.2094628725374637E-2</c:v>
                </c:pt>
                <c:pt idx="4">
                  <c:v>5.612617163383285E-2</c:v>
                </c:pt>
                <c:pt idx="5">
                  <c:v>7.0157714542291069E-2</c:v>
                </c:pt>
                <c:pt idx="6">
                  <c:v>8.4189257450749275E-2</c:v>
                </c:pt>
                <c:pt idx="7">
                  <c:v>9.8220800359207494E-2</c:v>
                </c:pt>
                <c:pt idx="8">
                  <c:v>0.1122523432676657</c:v>
                </c:pt>
                <c:pt idx="9">
                  <c:v>0.12628388617612391</c:v>
                </c:pt>
                <c:pt idx="10">
                  <c:v>0.14031542908458214</c:v>
                </c:pt>
                <c:pt idx="11">
                  <c:v>0.15434697199304034</c:v>
                </c:pt>
                <c:pt idx="12">
                  <c:v>0.16837851490149855</c:v>
                </c:pt>
                <c:pt idx="13">
                  <c:v>0.19644160071841499</c:v>
                </c:pt>
                <c:pt idx="14">
                  <c:v>0.2245046865353314</c:v>
                </c:pt>
                <c:pt idx="15">
                  <c:v>0.25256777235224781</c:v>
                </c:pt>
                <c:pt idx="16">
                  <c:v>0.28063085816916428</c:v>
                </c:pt>
                <c:pt idx="17">
                  <c:v>0.30869394398608069</c:v>
                </c:pt>
                <c:pt idx="18">
                  <c:v>0.3367570298029971</c:v>
                </c:pt>
                <c:pt idx="19">
                  <c:v>0.37885165852837177</c:v>
                </c:pt>
                <c:pt idx="20">
                  <c:v>0.42094628725374639</c:v>
                </c:pt>
                <c:pt idx="21">
                  <c:v>0.463040915979121</c:v>
                </c:pt>
                <c:pt idx="22">
                  <c:v>0.50513554470449562</c:v>
                </c:pt>
                <c:pt idx="23">
                  <c:v>0.54723017342987035</c:v>
                </c:pt>
                <c:pt idx="24">
                  <c:v>0.58932480215524496</c:v>
                </c:pt>
                <c:pt idx="25">
                  <c:v>0.63141943088061958</c:v>
                </c:pt>
                <c:pt idx="26">
                  <c:v>0.6735140596059942</c:v>
                </c:pt>
                <c:pt idx="27">
                  <c:v>0.71560868833136881</c:v>
                </c:pt>
                <c:pt idx="28">
                  <c:v>0.75770331705674354</c:v>
                </c:pt>
                <c:pt idx="29">
                  <c:v>0.79979794578211816</c:v>
                </c:pt>
                <c:pt idx="30">
                  <c:v>0.84189257450749277</c:v>
                </c:pt>
                <c:pt idx="31">
                  <c:v>0.8980187461413256</c:v>
                </c:pt>
                <c:pt idx="32">
                  <c:v>0.95414491777515842</c:v>
                </c:pt>
                <c:pt idx="33">
                  <c:v>1.0102710894089912</c:v>
                </c:pt>
                <c:pt idx="34">
                  <c:v>1.0663972610428241</c:v>
                </c:pt>
                <c:pt idx="35">
                  <c:v>1.1225234326766571</c:v>
                </c:pt>
                <c:pt idx="36">
                  <c:v>1.1786496043104899</c:v>
                </c:pt>
                <c:pt idx="37">
                  <c:v>1.2347757759443228</c:v>
                </c:pt>
                <c:pt idx="38">
                  <c:v>1.2909019475781556</c:v>
                </c:pt>
                <c:pt idx="39">
                  <c:v>1.3470281192119884</c:v>
                </c:pt>
                <c:pt idx="40">
                  <c:v>1.4312173766627376</c:v>
                </c:pt>
                <c:pt idx="41">
                  <c:v>1.5154066341134871</c:v>
                </c:pt>
                <c:pt idx="42">
                  <c:v>1.5995958915642363</c:v>
                </c:pt>
                <c:pt idx="43">
                  <c:v>1.6837851490149855</c:v>
                </c:pt>
                <c:pt idx="44">
                  <c:v>1.7679744064657348</c:v>
                </c:pt>
                <c:pt idx="45">
                  <c:v>1.852163663916484</c:v>
                </c:pt>
                <c:pt idx="46">
                  <c:v>1.9363529213672335</c:v>
                </c:pt>
                <c:pt idx="47">
                  <c:v>2.0205421788179825</c:v>
                </c:pt>
                <c:pt idx="48">
                  <c:v>2.1047314362687319</c:v>
                </c:pt>
                <c:pt idx="49">
                  <c:v>2.1889206937194814</c:v>
                </c:pt>
                <c:pt idx="50">
                  <c:v>2.2731099511702304</c:v>
                </c:pt>
                <c:pt idx="51">
                  <c:v>2.3572992086209799</c:v>
                </c:pt>
                <c:pt idx="52">
                  <c:v>2.5256777235224783</c:v>
                </c:pt>
                <c:pt idx="53">
                  <c:v>2.6940562384239768</c:v>
                </c:pt>
                <c:pt idx="54">
                  <c:v>2.8624347533254753</c:v>
                </c:pt>
                <c:pt idx="55">
                  <c:v>3.0308132682269742</c:v>
                </c:pt>
                <c:pt idx="56">
                  <c:v>3.1991917831284726</c:v>
                </c:pt>
                <c:pt idx="57">
                  <c:v>3.3675702980299711</c:v>
                </c:pt>
                <c:pt idx="58">
                  <c:v>3.5359488129314696</c:v>
                </c:pt>
                <c:pt idx="59">
                  <c:v>3.704327327832968</c:v>
                </c:pt>
                <c:pt idx="60">
                  <c:v>3.8727058427344669</c:v>
                </c:pt>
                <c:pt idx="61">
                  <c:v>4.041084357635965</c:v>
                </c:pt>
                <c:pt idx="62">
                  <c:v>4.2094628725374639</c:v>
                </c:pt>
                <c:pt idx="63">
                  <c:v>4.3778413874389628</c:v>
                </c:pt>
                <c:pt idx="64">
                  <c:v>4.5462199023404608</c:v>
                </c:pt>
                <c:pt idx="65">
                  <c:v>4.7145984172419597</c:v>
                </c:pt>
                <c:pt idx="66">
                  <c:v>4.8829769321434577</c:v>
                </c:pt>
                <c:pt idx="67">
                  <c:v>5.0513554470449566</c:v>
                </c:pt>
                <c:pt idx="68">
                  <c:v>5.1355447044957057</c:v>
                </c:pt>
                <c:pt idx="69">
                  <c:v>5.2197339619464556</c:v>
                </c:pt>
                <c:pt idx="70">
                  <c:v>5.3039232193972046</c:v>
                </c:pt>
                <c:pt idx="71">
                  <c:v>5.3881124768479536</c:v>
                </c:pt>
                <c:pt idx="72">
                  <c:v>5.4723017342987026</c:v>
                </c:pt>
                <c:pt idx="73">
                  <c:v>5.5564909917494525</c:v>
                </c:pt>
                <c:pt idx="74">
                  <c:v>5.6406802492002015</c:v>
                </c:pt>
                <c:pt idx="75">
                  <c:v>5.7248695066509505</c:v>
                </c:pt>
                <c:pt idx="76">
                  <c:v>5.8090587641017004</c:v>
                </c:pt>
              </c:numCache>
            </c:numRef>
          </c:xVal>
          <c:yVal>
            <c:numRef>
              <c:f>'[1]TRH 10hP4'!$O$12:$O$88</c:f>
              <c:numCache>
                <c:formatCode>General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1.4696866628035513E-5</c:v>
                </c:pt>
                <c:pt idx="4">
                  <c:v>8.6621232353262273E-2</c:v>
                </c:pt>
                <c:pt idx="5">
                  <c:v>0.10761675610759786</c:v>
                </c:pt>
                <c:pt idx="6">
                  <c:v>0.22571657722573546</c:v>
                </c:pt>
                <c:pt idx="7">
                  <c:v>0.30444979130449384</c:v>
                </c:pt>
                <c:pt idx="8">
                  <c:v>0.30969867224307779</c:v>
                </c:pt>
                <c:pt idx="9">
                  <c:v>0.34119195787458118</c:v>
                </c:pt>
                <c:pt idx="10">
                  <c:v>0.33594307693599729</c:v>
                </c:pt>
                <c:pt idx="11">
                  <c:v>0.31494755318166168</c:v>
                </c:pt>
                <c:pt idx="12">
                  <c:v>0.37530968397537645</c:v>
                </c:pt>
                <c:pt idx="13">
                  <c:v>0.19159885112494016</c:v>
                </c:pt>
                <c:pt idx="14">
                  <c:v>0.30444979130449384</c:v>
                </c:pt>
                <c:pt idx="15">
                  <c:v>0.27033206520369857</c:v>
                </c:pt>
                <c:pt idx="16">
                  <c:v>0.446169576646259</c:v>
                </c:pt>
                <c:pt idx="17">
                  <c:v>0.46191621946201067</c:v>
                </c:pt>
                <c:pt idx="18">
                  <c:v>0.58526492151873222</c:v>
                </c:pt>
                <c:pt idx="19">
                  <c:v>0.65874925465890677</c:v>
                </c:pt>
                <c:pt idx="20">
                  <c:v>0.58526492151873222</c:v>
                </c:pt>
                <c:pt idx="21">
                  <c:v>0.57739160011085644</c:v>
                </c:pt>
                <c:pt idx="22">
                  <c:v>0.61413376668094366</c:v>
                </c:pt>
                <c:pt idx="23">
                  <c:v>0.60888488574235966</c:v>
                </c:pt>
                <c:pt idx="24">
                  <c:v>0.56689383823368866</c:v>
                </c:pt>
                <c:pt idx="25">
                  <c:v>0.54064943354076911</c:v>
                </c:pt>
                <c:pt idx="26">
                  <c:v>0.51965390978643355</c:v>
                </c:pt>
                <c:pt idx="27">
                  <c:v>0.51702946931714155</c:v>
                </c:pt>
                <c:pt idx="28">
                  <c:v>0.48553618368563828</c:v>
                </c:pt>
                <c:pt idx="29">
                  <c:v>0.49603394556280606</c:v>
                </c:pt>
                <c:pt idx="30">
                  <c:v>0.47766286227776245</c:v>
                </c:pt>
                <c:pt idx="31">
                  <c:v>0.43567181476909123</c:v>
                </c:pt>
                <c:pt idx="32">
                  <c:v>0.43042293383050739</c:v>
                </c:pt>
                <c:pt idx="33">
                  <c:v>0.43042293383050739</c:v>
                </c:pt>
                <c:pt idx="34">
                  <c:v>0.38843188632183623</c:v>
                </c:pt>
                <c:pt idx="35">
                  <c:v>0.37006080303679256</c:v>
                </c:pt>
                <c:pt idx="36">
                  <c:v>0.3543141602210409</c:v>
                </c:pt>
                <c:pt idx="37">
                  <c:v>0.3306941959974134</c:v>
                </c:pt>
                <c:pt idx="38">
                  <c:v>0.3306941959974134</c:v>
                </c:pt>
                <c:pt idx="39">
                  <c:v>0.29132758895803412</c:v>
                </c:pt>
                <c:pt idx="40">
                  <c:v>0.27295650567299051</c:v>
                </c:pt>
                <c:pt idx="41">
                  <c:v>0.25458542238794685</c:v>
                </c:pt>
                <c:pt idx="42">
                  <c:v>0.23358989863361132</c:v>
                </c:pt>
                <c:pt idx="43">
                  <c:v>0.22046769628715154</c:v>
                </c:pt>
                <c:pt idx="44">
                  <c:v>0.2178432558178596</c:v>
                </c:pt>
                <c:pt idx="45">
                  <c:v>0.1942232915942321</c:v>
                </c:pt>
                <c:pt idx="46">
                  <c:v>0.18634997018635624</c:v>
                </c:pt>
                <c:pt idx="47">
                  <c:v>0.17585220830918846</c:v>
                </c:pt>
                <c:pt idx="48">
                  <c:v>0.16273000596272874</c:v>
                </c:pt>
                <c:pt idx="49">
                  <c:v>0.18110108924777238</c:v>
                </c:pt>
                <c:pt idx="50">
                  <c:v>0.1601055654934368</c:v>
                </c:pt>
                <c:pt idx="51">
                  <c:v>0.17060332737060455</c:v>
                </c:pt>
                <c:pt idx="52">
                  <c:v>0.15485668455485291</c:v>
                </c:pt>
                <c:pt idx="53">
                  <c:v>0.12073895845405758</c:v>
                </c:pt>
                <c:pt idx="54">
                  <c:v>9.4494553761138106E-2</c:v>
                </c:pt>
                <c:pt idx="55">
                  <c:v>7.6123470476094482E-2</c:v>
                </c:pt>
                <c:pt idx="56">
                  <c:v>6.300126812963476E-2</c:v>
                </c:pt>
                <c:pt idx="57">
                  <c:v>5.5127946721758921E-2</c:v>
                </c:pt>
                <c:pt idx="58">
                  <c:v>4.9879065783175025E-2</c:v>
                </c:pt>
                <c:pt idx="59">
                  <c:v>4.2005744375299185E-2</c:v>
                </c:pt>
                <c:pt idx="60">
                  <c:v>3.4132422967423345E-2</c:v>
                </c:pt>
                <c:pt idx="61">
                  <c:v>3.4132422967423345E-2</c:v>
                </c:pt>
                <c:pt idx="62">
                  <c:v>2.3634661090255561E-2</c:v>
                </c:pt>
                <c:pt idx="63">
                  <c:v>1.8385780151671666E-2</c:v>
                </c:pt>
                <c:pt idx="64">
                  <c:v>1.0512458743795822E-2</c:v>
                </c:pt>
                <c:pt idx="65">
                  <c:v>7.8880182745038763E-3</c:v>
                </c:pt>
                <c:pt idx="66">
                  <c:v>5.2635778052119277E-3</c:v>
                </c:pt>
                <c:pt idx="67">
                  <c:v>2.6391373359199825E-3</c:v>
                </c:pt>
                <c:pt idx="68">
                  <c:v>2.6391373359199825E-3</c:v>
                </c:pt>
                <c:pt idx="69">
                  <c:v>1.4696866628035513E-5</c:v>
                </c:pt>
                <c:pt idx="70">
                  <c:v>1.4696866628035513E-5</c:v>
                </c:pt>
                <c:pt idx="71">
                  <c:v>1.4696866628035513E-5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3B04-4CE1-A2B1-79EEAB3C0F76}"/>
            </c:ext>
          </c:extLst>
        </c:ser>
        <c:ser>
          <c:idx val="1"/>
          <c:order val="1"/>
          <c:tx>
            <c:v>Tanq. Serie</c:v>
          </c:tx>
          <c:spPr>
            <a:ln w="12700"/>
          </c:spPr>
          <c:marker>
            <c:symbol val="squar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trendline>
            <c:trendlineType val="log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log"/>
            <c:dispRSqr val="0"/>
            <c:dispEq val="0"/>
          </c:trendline>
          <c:xVal>
            <c:numRef>
              <c:f>'[1]TRH 10hP4'!$N$12:$N$88</c:f>
              <c:numCache>
                <c:formatCode>General</c:formatCode>
                <c:ptCount val="77"/>
                <c:pt idx="0">
                  <c:v>0</c:v>
                </c:pt>
                <c:pt idx="1">
                  <c:v>1.4031542908458212E-2</c:v>
                </c:pt>
                <c:pt idx="2">
                  <c:v>2.8063085816916425E-2</c:v>
                </c:pt>
                <c:pt idx="3">
                  <c:v>4.2094628725374637E-2</c:v>
                </c:pt>
                <c:pt idx="4">
                  <c:v>5.612617163383285E-2</c:v>
                </c:pt>
                <c:pt idx="5">
                  <c:v>7.0157714542291069E-2</c:v>
                </c:pt>
                <c:pt idx="6">
                  <c:v>8.4189257450749275E-2</c:v>
                </c:pt>
                <c:pt idx="7">
                  <c:v>9.8220800359207494E-2</c:v>
                </c:pt>
                <c:pt idx="8">
                  <c:v>0.1122523432676657</c:v>
                </c:pt>
                <c:pt idx="9">
                  <c:v>0.12628388617612391</c:v>
                </c:pt>
                <c:pt idx="10">
                  <c:v>0.14031542908458214</c:v>
                </c:pt>
                <c:pt idx="11">
                  <c:v>0.15434697199304034</c:v>
                </c:pt>
                <c:pt idx="12">
                  <c:v>0.16837851490149855</c:v>
                </c:pt>
                <c:pt idx="13">
                  <c:v>0.19644160071841499</c:v>
                </c:pt>
                <c:pt idx="14">
                  <c:v>0.2245046865353314</c:v>
                </c:pt>
                <c:pt idx="15">
                  <c:v>0.25256777235224781</c:v>
                </c:pt>
                <c:pt idx="16">
                  <c:v>0.28063085816916428</c:v>
                </c:pt>
                <c:pt idx="17">
                  <c:v>0.30869394398608069</c:v>
                </c:pt>
                <c:pt idx="18">
                  <c:v>0.3367570298029971</c:v>
                </c:pt>
                <c:pt idx="19">
                  <c:v>0.37885165852837177</c:v>
                </c:pt>
                <c:pt idx="20">
                  <c:v>0.42094628725374639</c:v>
                </c:pt>
                <c:pt idx="21">
                  <c:v>0.463040915979121</c:v>
                </c:pt>
                <c:pt idx="22">
                  <c:v>0.50513554470449562</c:v>
                </c:pt>
                <c:pt idx="23">
                  <c:v>0.54723017342987035</c:v>
                </c:pt>
                <c:pt idx="24">
                  <c:v>0.58932480215524496</c:v>
                </c:pt>
                <c:pt idx="25">
                  <c:v>0.63141943088061958</c:v>
                </c:pt>
                <c:pt idx="26">
                  <c:v>0.6735140596059942</c:v>
                </c:pt>
                <c:pt idx="27">
                  <c:v>0.71560868833136881</c:v>
                </c:pt>
                <c:pt idx="28">
                  <c:v>0.75770331705674354</c:v>
                </c:pt>
                <c:pt idx="29">
                  <c:v>0.79979794578211816</c:v>
                </c:pt>
                <c:pt idx="30">
                  <c:v>0.84189257450749277</c:v>
                </c:pt>
                <c:pt idx="31">
                  <c:v>0.8980187461413256</c:v>
                </c:pt>
                <c:pt idx="32">
                  <c:v>0.95414491777515842</c:v>
                </c:pt>
                <c:pt idx="33">
                  <c:v>1.0102710894089912</c:v>
                </c:pt>
                <c:pt idx="34">
                  <c:v>1.0663972610428241</c:v>
                </c:pt>
                <c:pt idx="35">
                  <c:v>1.1225234326766571</c:v>
                </c:pt>
                <c:pt idx="36">
                  <c:v>1.1786496043104899</c:v>
                </c:pt>
                <c:pt idx="37">
                  <c:v>1.2347757759443228</c:v>
                </c:pt>
                <c:pt idx="38">
                  <c:v>1.2909019475781556</c:v>
                </c:pt>
                <c:pt idx="39">
                  <c:v>1.3470281192119884</c:v>
                </c:pt>
                <c:pt idx="40">
                  <c:v>1.4312173766627376</c:v>
                </c:pt>
                <c:pt idx="41">
                  <c:v>1.5154066341134871</c:v>
                </c:pt>
                <c:pt idx="42">
                  <c:v>1.5995958915642363</c:v>
                </c:pt>
                <c:pt idx="43">
                  <c:v>1.6837851490149855</c:v>
                </c:pt>
                <c:pt idx="44">
                  <c:v>1.7679744064657348</c:v>
                </c:pt>
                <c:pt idx="45">
                  <c:v>1.852163663916484</c:v>
                </c:pt>
                <c:pt idx="46">
                  <c:v>1.9363529213672335</c:v>
                </c:pt>
                <c:pt idx="47">
                  <c:v>2.0205421788179825</c:v>
                </c:pt>
                <c:pt idx="48">
                  <c:v>2.1047314362687319</c:v>
                </c:pt>
                <c:pt idx="49">
                  <c:v>2.1889206937194814</c:v>
                </c:pt>
                <c:pt idx="50">
                  <c:v>2.2731099511702304</c:v>
                </c:pt>
                <c:pt idx="51">
                  <c:v>2.3572992086209799</c:v>
                </c:pt>
                <c:pt idx="52">
                  <c:v>2.5256777235224783</c:v>
                </c:pt>
                <c:pt idx="53">
                  <c:v>2.6940562384239768</c:v>
                </c:pt>
                <c:pt idx="54">
                  <c:v>2.8624347533254753</c:v>
                </c:pt>
                <c:pt idx="55">
                  <c:v>3.0308132682269742</c:v>
                </c:pt>
                <c:pt idx="56">
                  <c:v>3.1991917831284726</c:v>
                </c:pt>
                <c:pt idx="57">
                  <c:v>3.3675702980299711</c:v>
                </c:pt>
                <c:pt idx="58">
                  <c:v>3.5359488129314696</c:v>
                </c:pt>
                <c:pt idx="59">
                  <c:v>3.704327327832968</c:v>
                </c:pt>
                <c:pt idx="60">
                  <c:v>3.8727058427344669</c:v>
                </c:pt>
                <c:pt idx="61">
                  <c:v>4.041084357635965</c:v>
                </c:pt>
                <c:pt idx="62">
                  <c:v>4.2094628725374639</c:v>
                </c:pt>
                <c:pt idx="63">
                  <c:v>4.3778413874389628</c:v>
                </c:pt>
                <c:pt idx="64">
                  <c:v>4.5462199023404608</c:v>
                </c:pt>
                <c:pt idx="65">
                  <c:v>4.7145984172419597</c:v>
                </c:pt>
                <c:pt idx="66">
                  <c:v>4.8829769321434577</c:v>
                </c:pt>
                <c:pt idx="67">
                  <c:v>5.0513554470449566</c:v>
                </c:pt>
                <c:pt idx="68">
                  <c:v>5.1355447044957057</c:v>
                </c:pt>
                <c:pt idx="69">
                  <c:v>5.2197339619464556</c:v>
                </c:pt>
                <c:pt idx="70">
                  <c:v>5.3039232193972046</c:v>
                </c:pt>
                <c:pt idx="71">
                  <c:v>5.3881124768479536</c:v>
                </c:pt>
                <c:pt idx="72">
                  <c:v>5.4723017342987026</c:v>
                </c:pt>
                <c:pt idx="73">
                  <c:v>5.5564909917494525</c:v>
                </c:pt>
                <c:pt idx="74">
                  <c:v>5.6406802492002015</c:v>
                </c:pt>
                <c:pt idx="75">
                  <c:v>5.7248695066509505</c:v>
                </c:pt>
                <c:pt idx="76">
                  <c:v>5.8090587641017004</c:v>
                </c:pt>
              </c:numCache>
            </c:numRef>
          </c:xVal>
          <c:yVal>
            <c:numRef>
              <c:f>'[1]TRH 10hP4'!$S$12:$S$88</c:f>
              <c:numCache>
                <c:formatCode>General</c:formatCode>
                <c:ptCount val="77"/>
                <c:pt idx="0">
                  <c:v>0</c:v>
                </c:pt>
                <c:pt idx="1">
                  <c:v>8.1761690988058855E-2</c:v>
                </c:pt>
                <c:pt idx="2">
                  <c:v>0.14321929780988157</c:v>
                </c:pt>
                <c:pt idx="3">
                  <c:v>0.19667200723521844</c:v>
                </c:pt>
                <c:pt idx="4">
                  <c:v>0.2444575253647972</c:v>
                </c:pt>
                <c:pt idx="5">
                  <c:v>0.28770616555778183</c:v>
                </c:pt>
                <c:pt idx="6">
                  <c:v>0.32711059956389493</c:v>
                </c:pt>
                <c:pt idx="7">
                  <c:v>0.36315204289317365</c:v>
                </c:pt>
                <c:pt idx="8">
                  <c:v>0.39619197433257713</c:v>
                </c:pt>
                <c:pt idx="9">
                  <c:v>0.42651667887594402</c:v>
                </c:pt>
                <c:pt idx="10">
                  <c:v>0.45436160758763083</c:v>
                </c:pt>
                <c:pt idx="11">
                  <c:v>0.47992588477557674</c:v>
                </c:pt>
                <c:pt idx="12">
                  <c:v>0.50338152418419713</c:v>
                </c:pt>
                <c:pt idx="13">
                  <c:v>0.54455448815799357</c:v>
                </c:pt>
                <c:pt idx="14">
                  <c:v>0.57890689180693289</c:v>
                </c:pt>
                <c:pt idx="15">
                  <c:v>0.60728039476373208</c:v>
                </c:pt>
                <c:pt idx="16">
                  <c:v>0.63038383094434614</c:v>
                </c:pt>
                <c:pt idx="17">
                  <c:v>0.64882534712361806</c:v>
                </c:pt>
                <c:pt idx="18">
                  <c:v>0.6631337027199059</c:v>
                </c:pt>
                <c:pt idx="19">
                  <c:v>0.67784724856886969</c:v>
                </c:pt>
                <c:pt idx="20">
                  <c:v>0.68564267059387629</c:v>
                </c:pt>
                <c:pt idx="21">
                  <c:v>0.68765527096136292</c:v>
                </c:pt>
                <c:pt idx="22">
                  <c:v>0.68484811564604187</c:v>
                </c:pt>
                <c:pt idx="23">
                  <c:v>0.67804274085695071</c:v>
                </c:pt>
                <c:pt idx="24">
                  <c:v>0.66794256327247969</c:v>
                </c:pt>
                <c:pt idx="25">
                  <c:v>0.65515127370420245</c:v>
                </c:pt>
                <c:pt idx="26">
                  <c:v>0.64018763292718983</c:v>
                </c:pt>
                <c:pt idx="27">
                  <c:v>0.6234975952546189</c:v>
                </c:pt>
                <c:pt idx="28">
                  <c:v>0.60546438864378205</c:v>
                </c:pt>
                <c:pt idx="29">
                  <c:v>0.58641699375354905</c:v>
                </c:pt>
                <c:pt idx="30">
                  <c:v>0.56663734291599477</c:v>
                </c:pt>
                <c:pt idx="31">
                  <c:v>0.53953680854871344</c:v>
                </c:pt>
                <c:pt idx="32">
                  <c:v>0.51203397312034971</c:v>
                </c:pt>
                <c:pt idx="33">
                  <c:v>0.48451005529855196</c:v>
                </c:pt>
                <c:pt idx="34">
                  <c:v>0.45726812953461893</c:v>
                </c:pt>
                <c:pt idx="35">
                  <c:v>0.43054621347368432</c:v>
                </c:pt>
                <c:pt idx="36">
                  <c:v>0.40452821988697624</c:v>
                </c:pt>
                <c:pt idx="37">
                  <c:v>0.37935314744935805</c:v>
                </c:pt>
                <c:pt idx="38">
                  <c:v>0.35512280866778456</c:v>
                </c:pt>
                <c:pt idx="39">
                  <c:v>0.33190833582025708</c:v>
                </c:pt>
                <c:pt idx="40">
                  <c:v>0.29908611387831729</c:v>
                </c:pt>
                <c:pt idx="41">
                  <c:v>0.26872041347251346</c:v>
                </c:pt>
                <c:pt idx="42">
                  <c:v>0.2408070454967183</c:v>
                </c:pt>
                <c:pt idx="43">
                  <c:v>0.21528730532713114</c:v>
                </c:pt>
                <c:pt idx="44">
                  <c:v>0.19206483736657137</c:v>
                </c:pt>
                <c:pt idx="45">
                  <c:v>0.17101851178366148</c:v>
                </c:pt>
                <c:pt idx="46">
                  <c:v>0.1520121808519819</c:v>
                </c:pt>
                <c:pt idx="47">
                  <c:v>0.13490199561551985</c:v>
                </c:pt>
                <c:pt idx="48">
                  <c:v>0.11954181874167205</c:v>
                </c:pt>
                <c:pt idx="49">
                  <c:v>0.10578715619183621</c:v>
                </c:pt>
                <c:pt idx="50">
                  <c:v>9.3497941342862489E-2</c:v>
                </c:pt>
                <c:pt idx="51">
                  <c:v>8.2540434950427385E-2</c:v>
                </c:pt>
                <c:pt idx="52">
                  <c:v>6.4124056253446624E-2</c:v>
                </c:pt>
                <c:pt idx="53">
                  <c:v>4.9629333119368554E-2</c:v>
                </c:pt>
                <c:pt idx="54">
                  <c:v>3.8284035002612654E-2</c:v>
                </c:pt>
                <c:pt idx="55">
                  <c:v>2.9445795314752561E-2</c:v>
                </c:pt>
                <c:pt idx="56">
                  <c:v>2.2588791360914129E-2</c:v>
                </c:pt>
                <c:pt idx="57">
                  <c:v>1.7287946175383213E-2</c:v>
                </c:pt>
                <c:pt idx="58">
                  <c:v>1.320304239275767E-2</c:v>
                </c:pt>
                <c:pt idx="59">
                  <c:v>1.0063995936617191E-2</c:v>
                </c:pt>
                <c:pt idx="60">
                  <c:v>7.6578506941966254E-3</c:v>
                </c:pt>
                <c:pt idx="61">
                  <c:v>5.8176562215254534E-3</c:v>
                </c:pt>
                <c:pt idx="62">
                  <c:v>4.413170576655006E-3</c:v>
                </c:pt>
                <c:pt idx="63">
                  <c:v>3.3432201249446185E-3</c:v>
                </c:pt>
                <c:pt idx="64">
                  <c:v>2.5295033192004545E-3</c:v>
                </c:pt>
                <c:pt idx="65">
                  <c:v>1.9116180964319322E-3</c:v>
                </c:pt>
                <c:pt idx="66">
                  <c:v>1.4431052906904271E-3</c:v>
                </c:pt>
                <c:pt idx="67">
                  <c:v>1.0883227723111945E-3</c:v>
                </c:pt>
                <c:pt idx="68">
                  <c:v>9.4478435279078568E-4</c:v>
                </c:pt>
                <c:pt idx="69">
                  <c:v>8.19990653380922E-4</c:v>
                </c:pt>
                <c:pt idx="70">
                  <c:v>7.1152392457612403E-4</c:v>
                </c:pt>
                <c:pt idx="71">
                  <c:v>6.1727333924173605E-4</c:v>
                </c:pt>
                <c:pt idx="72">
                  <c:v>5.3539684764030934E-4</c:v>
                </c:pt>
                <c:pt idx="73">
                  <c:v>4.6428763500788961E-4</c:v>
                </c:pt>
                <c:pt idx="74">
                  <c:v>4.0254465027176581E-4</c:v>
                </c:pt>
                <c:pt idx="75">
                  <c:v>3.4894673157447314E-4</c:v>
                </c:pt>
                <c:pt idx="76">
                  <c:v>3.0242990601617864E-4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3B04-4CE1-A2B1-79EEAB3C0F76}"/>
            </c:ext>
          </c:extLst>
        </c:ser>
        <c:ser>
          <c:idx val="3"/>
          <c:order val="2"/>
          <c:tx>
            <c:v>PD</c:v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'[1]TRH 10hP4'!$N$12:$N$88</c:f>
              <c:numCache>
                <c:formatCode>General</c:formatCode>
                <c:ptCount val="77"/>
                <c:pt idx="0">
                  <c:v>0</c:v>
                </c:pt>
                <c:pt idx="1">
                  <c:v>1.4031542908458212E-2</c:v>
                </c:pt>
                <c:pt idx="2">
                  <c:v>2.8063085816916425E-2</c:v>
                </c:pt>
                <c:pt idx="3">
                  <c:v>4.2094628725374637E-2</c:v>
                </c:pt>
                <c:pt idx="4">
                  <c:v>5.612617163383285E-2</c:v>
                </c:pt>
                <c:pt idx="5">
                  <c:v>7.0157714542291069E-2</c:v>
                </c:pt>
                <c:pt idx="6">
                  <c:v>8.4189257450749275E-2</c:v>
                </c:pt>
                <c:pt idx="7">
                  <c:v>9.8220800359207494E-2</c:v>
                </c:pt>
                <c:pt idx="8">
                  <c:v>0.1122523432676657</c:v>
                </c:pt>
                <c:pt idx="9">
                  <c:v>0.12628388617612391</c:v>
                </c:pt>
                <c:pt idx="10">
                  <c:v>0.14031542908458214</c:v>
                </c:pt>
                <c:pt idx="11">
                  <c:v>0.15434697199304034</c:v>
                </c:pt>
                <c:pt idx="12">
                  <c:v>0.16837851490149855</c:v>
                </c:pt>
                <c:pt idx="13">
                  <c:v>0.19644160071841499</c:v>
                </c:pt>
                <c:pt idx="14">
                  <c:v>0.2245046865353314</c:v>
                </c:pt>
                <c:pt idx="15">
                  <c:v>0.25256777235224781</c:v>
                </c:pt>
                <c:pt idx="16">
                  <c:v>0.28063085816916428</c:v>
                </c:pt>
                <c:pt idx="17">
                  <c:v>0.30869394398608069</c:v>
                </c:pt>
                <c:pt idx="18">
                  <c:v>0.3367570298029971</c:v>
                </c:pt>
                <c:pt idx="19">
                  <c:v>0.37885165852837177</c:v>
                </c:pt>
                <c:pt idx="20">
                  <c:v>0.42094628725374639</c:v>
                </c:pt>
                <c:pt idx="21">
                  <c:v>0.463040915979121</c:v>
                </c:pt>
                <c:pt idx="22">
                  <c:v>0.50513554470449562</c:v>
                </c:pt>
                <c:pt idx="23">
                  <c:v>0.54723017342987035</c:v>
                </c:pt>
                <c:pt idx="24">
                  <c:v>0.58932480215524496</c:v>
                </c:pt>
                <c:pt idx="25">
                  <c:v>0.63141943088061958</c:v>
                </c:pt>
                <c:pt idx="26">
                  <c:v>0.6735140596059942</c:v>
                </c:pt>
                <c:pt idx="27">
                  <c:v>0.71560868833136881</c:v>
                </c:pt>
                <c:pt idx="28">
                  <c:v>0.75770331705674354</c:v>
                </c:pt>
                <c:pt idx="29">
                  <c:v>0.79979794578211816</c:v>
                </c:pt>
                <c:pt idx="30">
                  <c:v>0.84189257450749277</c:v>
                </c:pt>
                <c:pt idx="31">
                  <c:v>0.8980187461413256</c:v>
                </c:pt>
                <c:pt idx="32">
                  <c:v>0.95414491777515842</c:v>
                </c:pt>
                <c:pt idx="33">
                  <c:v>1.0102710894089912</c:v>
                </c:pt>
                <c:pt idx="34">
                  <c:v>1.0663972610428241</c:v>
                </c:pt>
                <c:pt idx="35">
                  <c:v>1.1225234326766571</c:v>
                </c:pt>
                <c:pt idx="36">
                  <c:v>1.1786496043104899</c:v>
                </c:pt>
                <c:pt idx="37">
                  <c:v>1.2347757759443228</c:v>
                </c:pt>
                <c:pt idx="38">
                  <c:v>1.2909019475781556</c:v>
                </c:pt>
                <c:pt idx="39">
                  <c:v>1.3470281192119884</c:v>
                </c:pt>
                <c:pt idx="40">
                  <c:v>1.4312173766627376</c:v>
                </c:pt>
                <c:pt idx="41">
                  <c:v>1.5154066341134871</c:v>
                </c:pt>
                <c:pt idx="42">
                  <c:v>1.5995958915642363</c:v>
                </c:pt>
                <c:pt idx="43">
                  <c:v>1.6837851490149855</c:v>
                </c:pt>
                <c:pt idx="44">
                  <c:v>1.7679744064657348</c:v>
                </c:pt>
                <c:pt idx="45">
                  <c:v>1.852163663916484</c:v>
                </c:pt>
                <c:pt idx="46">
                  <c:v>1.9363529213672335</c:v>
                </c:pt>
                <c:pt idx="47">
                  <c:v>2.0205421788179825</c:v>
                </c:pt>
                <c:pt idx="48">
                  <c:v>2.1047314362687319</c:v>
                </c:pt>
                <c:pt idx="49">
                  <c:v>2.1889206937194814</c:v>
                </c:pt>
                <c:pt idx="50">
                  <c:v>2.2731099511702304</c:v>
                </c:pt>
                <c:pt idx="51">
                  <c:v>2.3572992086209799</c:v>
                </c:pt>
                <c:pt idx="52">
                  <c:v>2.5256777235224783</c:v>
                </c:pt>
                <c:pt idx="53">
                  <c:v>2.6940562384239768</c:v>
                </c:pt>
                <c:pt idx="54">
                  <c:v>2.8624347533254753</c:v>
                </c:pt>
                <c:pt idx="55">
                  <c:v>3.0308132682269742</c:v>
                </c:pt>
                <c:pt idx="56">
                  <c:v>3.1991917831284726</c:v>
                </c:pt>
                <c:pt idx="57">
                  <c:v>3.3675702980299711</c:v>
                </c:pt>
                <c:pt idx="58">
                  <c:v>3.5359488129314696</c:v>
                </c:pt>
                <c:pt idx="59">
                  <c:v>3.704327327832968</c:v>
                </c:pt>
                <c:pt idx="60">
                  <c:v>3.8727058427344669</c:v>
                </c:pt>
                <c:pt idx="61">
                  <c:v>4.041084357635965</c:v>
                </c:pt>
                <c:pt idx="62">
                  <c:v>4.2094628725374639</c:v>
                </c:pt>
                <c:pt idx="63">
                  <c:v>4.3778413874389628</c:v>
                </c:pt>
                <c:pt idx="64">
                  <c:v>4.5462199023404608</c:v>
                </c:pt>
                <c:pt idx="65">
                  <c:v>4.7145984172419597</c:v>
                </c:pt>
                <c:pt idx="66">
                  <c:v>4.8829769321434577</c:v>
                </c:pt>
                <c:pt idx="67">
                  <c:v>5.0513554470449566</c:v>
                </c:pt>
                <c:pt idx="68">
                  <c:v>5.1355447044957057</c:v>
                </c:pt>
                <c:pt idx="69">
                  <c:v>5.2197339619464556</c:v>
                </c:pt>
                <c:pt idx="70">
                  <c:v>5.3039232193972046</c:v>
                </c:pt>
                <c:pt idx="71">
                  <c:v>5.3881124768479536</c:v>
                </c:pt>
                <c:pt idx="72">
                  <c:v>5.4723017342987026</c:v>
                </c:pt>
                <c:pt idx="73">
                  <c:v>5.5564909917494525</c:v>
                </c:pt>
                <c:pt idx="74">
                  <c:v>5.6406802492002015</c:v>
                </c:pt>
                <c:pt idx="75">
                  <c:v>5.7248695066509505</c:v>
                </c:pt>
                <c:pt idx="76">
                  <c:v>5.8090587641017004</c:v>
                </c:pt>
              </c:numCache>
            </c:numRef>
          </c:xVal>
          <c:yVal>
            <c:numRef>
              <c:f>'[1]TRH 10hP4'!$P$12:$P$88</c:f>
              <c:numCache>
                <c:formatCode>General</c:formatCode>
                <c:ptCount val="77"/>
                <c:pt idx="0">
                  <c:v>0.21534444344397197</c:v>
                </c:pt>
                <c:pt idx="1">
                  <c:v>0.22095622890063926</c:v>
                </c:pt>
                <c:pt idx="2">
                  <c:v>0.22663185419531068</c:v>
                </c:pt>
                <c:pt idx="3">
                  <c:v>0.23236878047827506</c:v>
                </c:pt>
                <c:pt idx="4">
                  <c:v>0.23816433647713173</c:v>
                </c:pt>
                <c:pt idx="5">
                  <c:v>0.24401571907723171</c:v>
                </c:pt>
                <c:pt idx="6">
                  <c:v>0.24991999415925709</c:v>
                </c:pt>
                <c:pt idx="7">
                  <c:v>0.25587409769850211</c:v>
                </c:pt>
                <c:pt idx="8">
                  <c:v>0.26187483712985837</c:v>
                </c:pt>
                <c:pt idx="9">
                  <c:v>0.26791889298192073</c:v>
                </c:pt>
                <c:pt idx="10">
                  <c:v>0.27400282078301774</c:v>
                </c:pt>
                <c:pt idx="11">
                  <c:v>0.28012305324134013</c:v>
                </c:pt>
                <c:pt idx="12">
                  <c:v>0.28627590270068309</c:v>
                </c:pt>
                <c:pt idx="13">
                  <c:v>0.29866411684543775</c:v>
                </c:pt>
                <c:pt idx="14">
                  <c:v>0.31113566541332394</c:v>
                </c:pt>
                <c:pt idx="15">
                  <c:v>0.32365702831926652</c:v>
                </c:pt>
                <c:pt idx="16">
                  <c:v>0.33619309010337739</c:v>
                </c:pt>
                <c:pt idx="17">
                  <c:v>0.34870728385669009</c:v>
                </c:pt>
                <c:pt idx="18">
                  <c:v>0.36116175157199248</c:v>
                </c:pt>
                <c:pt idx="19">
                  <c:v>0.37964595485059133</c:v>
                </c:pt>
                <c:pt idx="20">
                  <c:v>0.39777264912719212</c:v>
                </c:pt>
                <c:pt idx="21">
                  <c:v>0.41540352095326805</c:v>
                </c:pt>
                <c:pt idx="22">
                  <c:v>0.43239886327284138</c:v>
                </c:pt>
                <c:pt idx="23">
                  <c:v>0.44861937765012788</c:v>
                </c:pt>
                <c:pt idx="24">
                  <c:v>0.46392804639066704</c:v>
                </c:pt>
                <c:pt idx="25">
                  <c:v>0.47819204004751681</c:v>
                </c:pt>
                <c:pt idx="26">
                  <c:v>0.49128462363081388</c:v>
                </c:pt>
                <c:pt idx="27">
                  <c:v>0.50308702355782553</c:v>
                </c:pt>
                <c:pt idx="28">
                  <c:v>0.51349021706159725</c:v>
                </c:pt>
                <c:pt idx="29">
                  <c:v>0.52239660646006858</c:v>
                </c:pt>
                <c:pt idx="30">
                  <c:v>0.52972154238282865</c:v>
                </c:pt>
                <c:pt idx="31">
                  <c:v>0.53690867290109334</c:v>
                </c:pt>
                <c:pt idx="32">
                  <c:v>0.54103727304645999</c:v>
                </c:pt>
                <c:pt idx="33">
                  <c:v>0.54203575235044432</c:v>
                </c:pt>
                <c:pt idx="34">
                  <c:v>0.53988674217620036</c:v>
                </c:pt>
                <c:pt idx="35">
                  <c:v>0.53462759829358086</c:v>
                </c:pt>
                <c:pt idx="36">
                  <c:v>0.52634932072457841</c:v>
                </c:pt>
                <c:pt idx="37">
                  <c:v>0.51519393450101847</c:v>
                </c:pt>
                <c:pt idx="38">
                  <c:v>0.50135043667560153</c:v>
                </c:pt>
                <c:pt idx="39">
                  <c:v>0.48504947119004627</c:v>
                </c:pt>
                <c:pt idx="40">
                  <c:v>0.45657981516091811</c:v>
                </c:pt>
                <c:pt idx="41">
                  <c:v>0.42419333373935841</c:v>
                </c:pt>
                <c:pt idx="42">
                  <c:v>0.38898014090137056</c:v>
                </c:pt>
                <c:pt idx="43">
                  <c:v>0.35205253686205706</c:v>
                </c:pt>
                <c:pt idx="44">
                  <c:v>0.31448793278889409</c:v>
                </c:pt>
                <c:pt idx="45">
                  <c:v>0.27727898283661395</c:v>
                </c:pt>
                <c:pt idx="46">
                  <c:v>0.24129391917039988</c:v>
                </c:pt>
                <c:pt idx="47">
                  <c:v>0.207248913009205</c:v>
                </c:pt>
                <c:pt idx="48">
                  <c:v>0.1756930589063333</c:v>
                </c:pt>
                <c:pt idx="49">
                  <c:v>0.14700543981411338</c:v>
                </c:pt>
                <c:pt idx="50">
                  <c:v>0.12140278959993302</c:v>
                </c:pt>
                <c:pt idx="51">
                  <c:v>9.8955602007859716E-2</c:v>
                </c:pt>
                <c:pt idx="52">
                  <c:v>6.3213989481140431E-2</c:v>
                </c:pt>
                <c:pt idx="53">
                  <c:v>3.8322324991713341E-2</c:v>
                </c:pt>
                <c:pt idx="54">
                  <c:v>2.2047346848558594E-2</c:v>
                </c:pt>
                <c:pt idx="55">
                  <c:v>1.2037232651146788E-2</c:v>
                </c:pt>
                <c:pt idx="56">
                  <c:v>6.2368142489393928E-3</c:v>
                </c:pt>
                <c:pt idx="57">
                  <c:v>3.0666541493404066E-3</c:v>
                </c:pt>
                <c:pt idx="58">
                  <c:v>1.4309769075821223E-3</c:v>
                </c:pt>
                <c:pt idx="59">
                  <c:v>6.3367458043677046E-4</c:v>
                </c:pt>
                <c:pt idx="60">
                  <c:v>2.6629669819072817E-4</c:v>
                </c:pt>
                <c:pt idx="61">
                  <c:v>1.0620161290367838E-4</c:v>
                </c:pt>
                <c:pt idx="62">
                  <c:v>4.0194097206907117E-5</c:v>
                </c:pt>
                <c:pt idx="63">
                  <c:v>1.443641239021618E-5</c:v>
                </c:pt>
                <c:pt idx="64">
                  <c:v>4.9206459277793874E-6</c:v>
                </c:pt>
                <c:pt idx="65">
                  <c:v>1.5916617778665245E-6</c:v>
                </c:pt>
                <c:pt idx="66">
                  <c:v>4.8859080978808145E-7</c:v>
                </c:pt>
                <c:pt idx="67">
                  <c:v>1.423330105677104E-7</c:v>
                </c:pt>
                <c:pt idx="68">
                  <c:v>7.5328703799133929E-8</c:v>
                </c:pt>
                <c:pt idx="69">
                  <c:v>3.9348828977879906E-8</c:v>
                </c:pt>
                <c:pt idx="70">
                  <c:v>2.0287082197883961E-8</c:v>
                </c:pt>
                <c:pt idx="71">
                  <c:v>1.0323425410112823E-8</c:v>
                </c:pt>
                <c:pt idx="72">
                  <c:v>5.1849493511300397E-9</c:v>
                </c:pt>
                <c:pt idx="73">
                  <c:v>2.570287305632098E-9</c:v>
                </c:pt>
                <c:pt idx="74">
                  <c:v>1.2575790186372227E-9</c:v>
                </c:pt>
                <c:pt idx="75">
                  <c:v>6.0730289796138686E-10</c:v>
                </c:pt>
                <c:pt idx="76">
                  <c:v>2.8946221616334391E-10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3B04-4CE1-A2B1-79EEAB3C0F76}"/>
            </c:ext>
          </c:extLst>
        </c:ser>
        <c:ser>
          <c:idx val="4"/>
          <c:order val="3"/>
          <c:tx>
            <c:v>GDRA</c:v>
          </c:tx>
          <c:spPr>
            <a:ln w="12700">
              <a:solidFill>
                <a:srgbClr val="0000CC"/>
              </a:solidFill>
            </a:ln>
          </c:spPr>
          <c:marker>
            <c:symbol val="star"/>
            <c:size val="3"/>
            <c:spPr>
              <a:ln>
                <a:solidFill>
                  <a:srgbClr val="0000CC"/>
                </a:solidFill>
              </a:ln>
            </c:spPr>
          </c:marker>
          <c:xVal>
            <c:numRef>
              <c:f>'[1]TRH 10hP4'!$N$13:$N$88</c:f>
              <c:numCache>
                <c:formatCode>General</c:formatCode>
                <c:ptCount val="76"/>
                <c:pt idx="0">
                  <c:v>1.4031542908458212E-2</c:v>
                </c:pt>
                <c:pt idx="1">
                  <c:v>2.8063085816916425E-2</c:v>
                </c:pt>
                <c:pt idx="2">
                  <c:v>4.2094628725374637E-2</c:v>
                </c:pt>
                <c:pt idx="3">
                  <c:v>5.612617163383285E-2</c:v>
                </c:pt>
                <c:pt idx="4">
                  <c:v>7.0157714542291069E-2</c:v>
                </c:pt>
                <c:pt idx="5">
                  <c:v>8.4189257450749275E-2</c:v>
                </c:pt>
                <c:pt idx="6">
                  <c:v>9.8220800359207494E-2</c:v>
                </c:pt>
                <c:pt idx="7">
                  <c:v>0.1122523432676657</c:v>
                </c:pt>
                <c:pt idx="8">
                  <c:v>0.12628388617612391</c:v>
                </c:pt>
                <c:pt idx="9">
                  <c:v>0.14031542908458214</c:v>
                </c:pt>
                <c:pt idx="10">
                  <c:v>0.15434697199304034</c:v>
                </c:pt>
                <c:pt idx="11">
                  <c:v>0.16837851490149855</c:v>
                </c:pt>
                <c:pt idx="12">
                  <c:v>0.19644160071841499</c:v>
                </c:pt>
                <c:pt idx="13">
                  <c:v>0.2245046865353314</c:v>
                </c:pt>
                <c:pt idx="14">
                  <c:v>0.25256777235224781</c:v>
                </c:pt>
                <c:pt idx="15">
                  <c:v>0.28063085816916428</c:v>
                </c:pt>
                <c:pt idx="16">
                  <c:v>0.30869394398608069</c:v>
                </c:pt>
                <c:pt idx="17">
                  <c:v>0.3367570298029971</c:v>
                </c:pt>
                <c:pt idx="18">
                  <c:v>0.37885165852837177</c:v>
                </c:pt>
                <c:pt idx="19">
                  <c:v>0.42094628725374639</c:v>
                </c:pt>
                <c:pt idx="20">
                  <c:v>0.463040915979121</c:v>
                </c:pt>
                <c:pt idx="21">
                  <c:v>0.50513554470449562</c:v>
                </c:pt>
                <c:pt idx="22">
                  <c:v>0.54723017342987035</c:v>
                </c:pt>
                <c:pt idx="23">
                  <c:v>0.58932480215524496</c:v>
                </c:pt>
                <c:pt idx="24">
                  <c:v>0.63141943088061958</c:v>
                </c:pt>
                <c:pt idx="25">
                  <c:v>0.6735140596059942</c:v>
                </c:pt>
                <c:pt idx="26">
                  <c:v>0.71560868833136881</c:v>
                </c:pt>
                <c:pt idx="27">
                  <c:v>0.75770331705674354</c:v>
                </c:pt>
                <c:pt idx="28">
                  <c:v>0.79979794578211816</c:v>
                </c:pt>
                <c:pt idx="29">
                  <c:v>0.84189257450749277</c:v>
                </c:pt>
                <c:pt idx="30">
                  <c:v>0.8980187461413256</c:v>
                </c:pt>
                <c:pt idx="31">
                  <c:v>0.95414491777515842</c:v>
                </c:pt>
                <c:pt idx="32">
                  <c:v>1.0102710894089912</c:v>
                </c:pt>
                <c:pt idx="33">
                  <c:v>1.0663972610428241</c:v>
                </c:pt>
                <c:pt idx="34">
                  <c:v>1.1225234326766571</c:v>
                </c:pt>
                <c:pt idx="35">
                  <c:v>1.1786496043104899</c:v>
                </c:pt>
                <c:pt idx="36">
                  <c:v>1.2347757759443228</c:v>
                </c:pt>
                <c:pt idx="37">
                  <c:v>1.2909019475781556</c:v>
                </c:pt>
                <c:pt idx="38">
                  <c:v>1.3470281192119884</c:v>
                </c:pt>
                <c:pt idx="39">
                  <c:v>1.4312173766627376</c:v>
                </c:pt>
                <c:pt idx="40">
                  <c:v>1.5154066341134871</c:v>
                </c:pt>
                <c:pt idx="41">
                  <c:v>1.5995958915642363</c:v>
                </c:pt>
                <c:pt idx="42">
                  <c:v>1.6837851490149855</c:v>
                </c:pt>
                <c:pt idx="43">
                  <c:v>1.7679744064657348</c:v>
                </c:pt>
                <c:pt idx="44">
                  <c:v>1.852163663916484</c:v>
                </c:pt>
                <c:pt idx="45">
                  <c:v>1.9363529213672335</c:v>
                </c:pt>
                <c:pt idx="46">
                  <c:v>2.0205421788179825</c:v>
                </c:pt>
                <c:pt idx="47">
                  <c:v>2.1047314362687319</c:v>
                </c:pt>
                <c:pt idx="48">
                  <c:v>2.1889206937194814</c:v>
                </c:pt>
                <c:pt idx="49">
                  <c:v>2.2731099511702304</c:v>
                </c:pt>
                <c:pt idx="50">
                  <c:v>2.3572992086209799</c:v>
                </c:pt>
                <c:pt idx="51">
                  <c:v>2.5256777235224783</c:v>
                </c:pt>
                <c:pt idx="52">
                  <c:v>2.6940562384239768</c:v>
                </c:pt>
                <c:pt idx="53">
                  <c:v>2.8624347533254753</c:v>
                </c:pt>
                <c:pt idx="54">
                  <c:v>3.0308132682269742</c:v>
                </c:pt>
                <c:pt idx="55">
                  <c:v>3.1991917831284726</c:v>
                </c:pt>
                <c:pt idx="56">
                  <c:v>3.3675702980299711</c:v>
                </c:pt>
                <c:pt idx="57">
                  <c:v>3.5359488129314696</c:v>
                </c:pt>
                <c:pt idx="58">
                  <c:v>3.704327327832968</c:v>
                </c:pt>
                <c:pt idx="59">
                  <c:v>3.8727058427344669</c:v>
                </c:pt>
                <c:pt idx="60">
                  <c:v>4.041084357635965</c:v>
                </c:pt>
                <c:pt idx="61">
                  <c:v>4.2094628725374639</c:v>
                </c:pt>
                <c:pt idx="62">
                  <c:v>4.3778413874389628</c:v>
                </c:pt>
                <c:pt idx="63">
                  <c:v>4.5462199023404608</c:v>
                </c:pt>
                <c:pt idx="64">
                  <c:v>4.7145984172419597</c:v>
                </c:pt>
                <c:pt idx="65">
                  <c:v>4.8829769321434577</c:v>
                </c:pt>
                <c:pt idx="66">
                  <c:v>5.0513554470449566</c:v>
                </c:pt>
                <c:pt idx="67">
                  <c:v>5.1355447044957057</c:v>
                </c:pt>
                <c:pt idx="68">
                  <c:v>5.2197339619464556</c:v>
                </c:pt>
                <c:pt idx="69">
                  <c:v>5.3039232193972046</c:v>
                </c:pt>
                <c:pt idx="70">
                  <c:v>5.3881124768479536</c:v>
                </c:pt>
                <c:pt idx="71">
                  <c:v>5.4723017342987026</c:v>
                </c:pt>
                <c:pt idx="72">
                  <c:v>5.5564909917494525</c:v>
                </c:pt>
                <c:pt idx="73">
                  <c:v>5.6406802492002015</c:v>
                </c:pt>
                <c:pt idx="74">
                  <c:v>5.7248695066509505</c:v>
                </c:pt>
                <c:pt idx="75">
                  <c:v>5.8090587641017004</c:v>
                </c:pt>
              </c:numCache>
            </c:numRef>
          </c:xVal>
          <c:yVal>
            <c:numRef>
              <c:f>'[1]TRH 10hP4'!$R$13:$R$88</c:f>
              <c:numCache>
                <c:formatCode>General</c:formatCode>
                <c:ptCount val="76"/>
                <c:pt idx="0">
                  <c:v>6.1762730654560602E-46</c:v>
                </c:pt>
                <c:pt idx="1">
                  <c:v>1.9033040405104364E-22</c:v>
                </c:pt>
                <c:pt idx="2">
                  <c:v>1.161502234942029E-14</c:v>
                </c:pt>
                <c:pt idx="3">
                  <c:v>8.6034650548100764E-11</c:v>
                </c:pt>
                <c:pt idx="4">
                  <c:v>1.7448865427473212E-8</c:v>
                </c:pt>
                <c:pt idx="5">
                  <c:v>5.8808271182729665E-7</c:v>
                </c:pt>
                <c:pt idx="6">
                  <c:v>7.124873685379355E-6</c:v>
                </c:pt>
                <c:pt idx="7">
                  <c:v>4.5610233005178966E-5</c:v>
                </c:pt>
                <c:pt idx="8">
                  <c:v>1.9102040156512967E-4</c:v>
                </c:pt>
                <c:pt idx="9">
                  <c:v>5.948583645089356E-4</c:v>
                </c:pt>
                <c:pt idx="10">
                  <c:v>1.4941006686064061E-3</c:v>
                </c:pt>
                <c:pt idx="11">
                  <c:v>3.1951095906148394E-3</c:v>
                </c:pt>
                <c:pt idx="12">
                  <c:v>1.0362160811442277E-2</c:v>
                </c:pt>
                <c:pt idx="13">
                  <c:v>2.4554256593496696E-2</c:v>
                </c:pt>
                <c:pt idx="14">
                  <c:v>4.7247548417393453E-2</c:v>
                </c:pt>
                <c:pt idx="15">
                  <c:v>7.8639130625539608E-2</c:v>
                </c:pt>
                <c:pt idx="16">
                  <c:v>0.11784348135163009</c:v>
                </c:pt>
                <c:pt idx="17">
                  <c:v>0.16328386101774472</c:v>
                </c:pt>
                <c:pt idx="18">
                  <c:v>0.23900081149528676</c:v>
                </c:pt>
                <c:pt idx="19">
                  <c:v>0.31824331226986319</c:v>
                </c:pt>
                <c:pt idx="20">
                  <c:v>0.39577797390935443</c:v>
                </c:pt>
                <c:pt idx="21">
                  <c:v>0.46779818711134497</c:v>
                </c:pt>
                <c:pt idx="22">
                  <c:v>0.53186778719958094</c:v>
                </c:pt>
                <c:pt idx="23">
                  <c:v>0.5866783511115794</c:v>
                </c:pt>
                <c:pt idx="24">
                  <c:v>0.6317673468450854</c:v>
                </c:pt>
                <c:pt idx="25">
                  <c:v>0.66726319333456852</c:v>
                </c:pt>
                <c:pt idx="26">
                  <c:v>0.6936793281108472</c:v>
                </c:pt>
                <c:pt idx="27">
                  <c:v>0.71175866035316981</c:v>
                </c:pt>
                <c:pt idx="28">
                  <c:v>0.72236158255388749</c:v>
                </c:pt>
                <c:pt idx="29">
                  <c:v>0.72638857828534842</c:v>
                </c:pt>
                <c:pt idx="30">
                  <c:v>0.72305990736125414</c:v>
                </c:pt>
                <c:pt idx="31">
                  <c:v>0.71159554495395294</c:v>
                </c:pt>
                <c:pt idx="32">
                  <c:v>0.6937686124001593</c:v>
                </c:pt>
                <c:pt idx="33">
                  <c:v>0.67111939574500823</c:v>
                </c:pt>
                <c:pt idx="34">
                  <c:v>0.64495569926951113</c:v>
                </c:pt>
                <c:pt idx="35">
                  <c:v>0.61636794176073506</c:v>
                </c:pt>
                <c:pt idx="36">
                  <c:v>0.58625125178436721</c:v>
                </c:pt>
                <c:pt idx="37">
                  <c:v>0.55532995107707295</c:v>
                </c:pt>
                <c:pt idx="38">
                  <c:v>0.52418179905523354</c:v>
                </c:pt>
                <c:pt idx="39">
                  <c:v>0.47799808631743668</c:v>
                </c:pt>
                <c:pt idx="40">
                  <c:v>0.43341399415164827</c:v>
                </c:pt>
                <c:pt idx="41">
                  <c:v>0.39114633037703483</c:v>
                </c:pt>
                <c:pt idx="42">
                  <c:v>0.35161954571859649</c:v>
                </c:pt>
                <c:pt idx="43">
                  <c:v>0.31504649195718692</c:v>
                </c:pt>
                <c:pt idx="44">
                  <c:v>0.28149001577295374</c:v>
                </c:pt>
                <c:pt idx="45">
                  <c:v>0.25090930268475203</c:v>
                </c:pt>
                <c:pt idx="46">
                  <c:v>0.22319433814750933</c:v>
                </c:pt>
                <c:pt idx="47">
                  <c:v>0.19819124144061143</c:v>
                </c:pt>
                <c:pt idx="48">
                  <c:v>0.17572066254789181</c:v>
                </c:pt>
                <c:pt idx="49">
                  <c:v>0.15559095088821084</c:v>
                </c:pt>
                <c:pt idx="50">
                  <c:v>0.13760741279266955</c:v>
                </c:pt>
                <c:pt idx="51">
                  <c:v>0.1073208389760834</c:v>
                </c:pt>
                <c:pt idx="52">
                  <c:v>8.3434841706793744E-2</c:v>
                </c:pt>
                <c:pt idx="53">
                  <c:v>6.4703630598615086E-2</c:v>
                </c:pt>
                <c:pt idx="54">
                  <c:v>5.007863332425283E-2</c:v>
                </c:pt>
                <c:pt idx="55">
                  <c:v>3.8698282217142804E-2</c:v>
                </c:pt>
                <c:pt idx="56">
                  <c:v>2.9866256528468214E-2</c:v>
                </c:pt>
                <c:pt idx="57">
                  <c:v>2.3026377172201608E-2</c:v>
                </c:pt>
                <c:pt idx="58">
                  <c:v>1.7738229489095956E-2</c:v>
                </c:pt>
                <c:pt idx="59">
                  <c:v>1.3655329769543078E-2</c:v>
                </c:pt>
                <c:pt idx="60">
                  <c:v>1.0506447004833008E-2</c:v>
                </c:pt>
                <c:pt idx="61">
                  <c:v>8.080079853678793E-3</c:v>
                </c:pt>
                <c:pt idx="62">
                  <c:v>6.2118052735897012E-3</c:v>
                </c:pt>
                <c:pt idx="63">
                  <c:v>4.7741087601420474E-3</c:v>
                </c:pt>
                <c:pt idx="64">
                  <c:v>3.6682913110859645E-3</c:v>
                </c:pt>
                <c:pt idx="65">
                  <c:v>2.8180774297606828E-3</c:v>
                </c:pt>
                <c:pt idx="66">
                  <c:v>2.1645956539357368E-3</c:v>
                </c:pt>
                <c:pt idx="67">
                  <c:v>1.8970065541009814E-3</c:v>
                </c:pt>
                <c:pt idx="68">
                  <c:v>1.6624545027745029E-3</c:v>
                </c:pt>
                <c:pt idx="69">
                  <c:v>1.4568707851573401E-3</c:v>
                </c:pt>
                <c:pt idx="70">
                  <c:v>1.2766855737181568E-3</c:v>
                </c:pt>
                <c:pt idx="71">
                  <c:v>1.118767218051194E-3</c:v>
                </c:pt>
                <c:pt idx="72">
                  <c:v>9.8036882730813206E-4</c:v>
                </c:pt>
                <c:pt idx="73">
                  <c:v>8.5908128893872888E-4</c:v>
                </c:pt>
                <c:pt idx="74">
                  <c:v>7.527919638718254E-4</c:v>
                </c:pt>
                <c:pt idx="75">
                  <c:v>6.5964838470832085E-4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3B04-4CE1-A2B1-79EEAB3C0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27879024"/>
        <c:axId val="-1827878480"/>
      </c:scatterChart>
      <c:valAx>
        <c:axId val="-182787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CO" b="1" i="0" baseline="0"/>
                </a:pPr>
                <a:r>
                  <a:rPr lang="el-GR" b="1" i="0" baseline="0"/>
                  <a:t>θ =(</a:t>
                </a:r>
                <a:r>
                  <a:rPr lang="es-CO" b="1" i="0" baseline="0"/>
                  <a:t>t/TRHt)</a:t>
                </a:r>
              </a:p>
            </c:rich>
          </c:tx>
          <c:layout>
            <c:manualLayout>
              <c:xMode val="edge"/>
              <c:yMode val="edge"/>
              <c:x val="0.37836393896590276"/>
              <c:y val="0.934307826906251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MX"/>
          </a:p>
        </c:txPr>
        <c:crossAx val="-1827878480"/>
        <c:crosses val="autoZero"/>
        <c:crossBetween val="midCat"/>
      </c:valAx>
      <c:valAx>
        <c:axId val="-182787848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CO" b="1" i="0" baseline="0"/>
                </a:pPr>
                <a:r>
                  <a:rPr lang="es-CO" b="1" i="0" baseline="0"/>
                  <a:t>E(</a:t>
                </a:r>
                <a:r>
                  <a:rPr lang="el-GR" b="1" i="0" baseline="0"/>
                  <a:t>θ)</a:t>
                </a:r>
              </a:p>
            </c:rich>
          </c:tx>
          <c:layout>
            <c:manualLayout>
              <c:xMode val="edge"/>
              <c:yMode val="edge"/>
              <c:x val="2.8880901432614056E-2"/>
              <c:y val="0.3676963456491018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/>
            </a:pPr>
            <a:endParaRPr lang="es-MX"/>
          </a:p>
        </c:txPr>
        <c:crossAx val="-182787902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18536691794520371"/>
          <c:y val="0.8359787334275709"/>
          <c:w val="0.77148664587441651"/>
          <c:h val="5.8946900868160693E-2"/>
        </c:manualLayout>
      </c:layout>
      <c:overlay val="0"/>
      <c:txPr>
        <a:bodyPr/>
        <a:lstStyle/>
        <a:p>
          <a:pPr>
            <a:defRPr lang="es-CO"/>
          </a:pPr>
          <a:endParaRPr lang="es-MX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ahoma" pitchFamily="34" charset="0"/>
          <a:ea typeface="Arial"/>
          <a:cs typeface="Arial"/>
        </a:defRPr>
      </a:pPr>
      <a:endParaRPr lang="es-MX"/>
    </a:p>
  </c:txPr>
  <c:printSettings>
    <c:headerFooter alignWithMargins="0"/>
    <c:pageMargins b="1" l="0.75000000000001465" r="0.75000000000001465" t="1" header="0" footer="0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CO"/>
            </a:pPr>
            <a:r>
              <a:rPr lang="es-MX"/>
              <a:t>TRH 10 h. Punto 4</a:t>
            </a:r>
          </a:p>
        </c:rich>
      </c:tx>
      <c:layout>
        <c:manualLayout>
          <c:xMode val="edge"/>
          <c:yMode val="edge"/>
          <c:x val="0.31227431275037987"/>
          <c:y val="3.3802891343387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109988776655443"/>
          <c:y val="0.22764254010582791"/>
          <c:w val="0.70762462772961465"/>
          <c:h val="0.52054223199215088"/>
        </c:manualLayout>
      </c:layout>
      <c:scatterChart>
        <c:scatterStyle val="lineMarker"/>
        <c:varyColors val="0"/>
        <c:ser>
          <c:idx val="0"/>
          <c:order val="0"/>
          <c:tx>
            <c:v>Exp</c:v>
          </c:tx>
          <c:spPr>
            <a:ln w="15875">
              <a:solidFill>
                <a:schemeClr val="tx1"/>
              </a:solidFill>
              <a:prstDash val="solid"/>
            </a:ln>
          </c:spPr>
          <c:marker>
            <c:symbol val="triangle"/>
            <c:size val="4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trendline>
            <c:trendlineType val="log"/>
            <c:dispRSqr val="0"/>
            <c:dispEq val="0"/>
          </c:trendline>
          <c:xVal>
            <c:numRef>
              <c:f>'[1]TRH 10hP4'!$D$12:$D$88</c:f>
              <c:numCache>
                <c:formatCode>General</c:formatCode>
                <c:ptCount val="7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70</c:v>
                </c:pt>
                <c:pt idx="14">
                  <c:v>80</c:v>
                </c:pt>
                <c:pt idx="15">
                  <c:v>90</c:v>
                </c:pt>
                <c:pt idx="16">
                  <c:v>100</c:v>
                </c:pt>
                <c:pt idx="17">
                  <c:v>110</c:v>
                </c:pt>
                <c:pt idx="18">
                  <c:v>120</c:v>
                </c:pt>
                <c:pt idx="19">
                  <c:v>135</c:v>
                </c:pt>
                <c:pt idx="20">
                  <c:v>150</c:v>
                </c:pt>
                <c:pt idx="21">
                  <c:v>165</c:v>
                </c:pt>
                <c:pt idx="22">
                  <c:v>180</c:v>
                </c:pt>
                <c:pt idx="23">
                  <c:v>195</c:v>
                </c:pt>
                <c:pt idx="24">
                  <c:v>210</c:v>
                </c:pt>
                <c:pt idx="25">
                  <c:v>225</c:v>
                </c:pt>
                <c:pt idx="26">
                  <c:v>240</c:v>
                </c:pt>
                <c:pt idx="27">
                  <c:v>255</c:v>
                </c:pt>
                <c:pt idx="28">
                  <c:v>270</c:v>
                </c:pt>
                <c:pt idx="29">
                  <c:v>285</c:v>
                </c:pt>
                <c:pt idx="30">
                  <c:v>300</c:v>
                </c:pt>
                <c:pt idx="31">
                  <c:v>320</c:v>
                </c:pt>
                <c:pt idx="32">
                  <c:v>340</c:v>
                </c:pt>
                <c:pt idx="33">
                  <c:v>360</c:v>
                </c:pt>
                <c:pt idx="34">
                  <c:v>380</c:v>
                </c:pt>
                <c:pt idx="35">
                  <c:v>400</c:v>
                </c:pt>
                <c:pt idx="36">
                  <c:v>420</c:v>
                </c:pt>
                <c:pt idx="37">
                  <c:v>440</c:v>
                </c:pt>
                <c:pt idx="38">
                  <c:v>460</c:v>
                </c:pt>
                <c:pt idx="39">
                  <c:v>480</c:v>
                </c:pt>
                <c:pt idx="40">
                  <c:v>510</c:v>
                </c:pt>
                <c:pt idx="41">
                  <c:v>540</c:v>
                </c:pt>
                <c:pt idx="42">
                  <c:v>570</c:v>
                </c:pt>
                <c:pt idx="43">
                  <c:v>600</c:v>
                </c:pt>
                <c:pt idx="44">
                  <c:v>630</c:v>
                </c:pt>
                <c:pt idx="45">
                  <c:v>660</c:v>
                </c:pt>
                <c:pt idx="46">
                  <c:v>690</c:v>
                </c:pt>
                <c:pt idx="47">
                  <c:v>720</c:v>
                </c:pt>
                <c:pt idx="48">
                  <c:v>750</c:v>
                </c:pt>
                <c:pt idx="49">
                  <c:v>780</c:v>
                </c:pt>
                <c:pt idx="50">
                  <c:v>810</c:v>
                </c:pt>
                <c:pt idx="51">
                  <c:v>840</c:v>
                </c:pt>
                <c:pt idx="52">
                  <c:v>900</c:v>
                </c:pt>
                <c:pt idx="53">
                  <c:v>960</c:v>
                </c:pt>
                <c:pt idx="54">
                  <c:v>1020</c:v>
                </c:pt>
                <c:pt idx="55">
                  <c:v>1080</c:v>
                </c:pt>
                <c:pt idx="56">
                  <c:v>1140</c:v>
                </c:pt>
                <c:pt idx="57">
                  <c:v>1200</c:v>
                </c:pt>
                <c:pt idx="58">
                  <c:v>1260</c:v>
                </c:pt>
                <c:pt idx="59">
                  <c:v>1320</c:v>
                </c:pt>
                <c:pt idx="60">
                  <c:v>1380</c:v>
                </c:pt>
                <c:pt idx="61">
                  <c:v>1440</c:v>
                </c:pt>
                <c:pt idx="62">
                  <c:v>1500</c:v>
                </c:pt>
                <c:pt idx="63">
                  <c:v>1560</c:v>
                </c:pt>
                <c:pt idx="64">
                  <c:v>1620</c:v>
                </c:pt>
                <c:pt idx="65">
                  <c:v>1680</c:v>
                </c:pt>
                <c:pt idx="66">
                  <c:v>1740</c:v>
                </c:pt>
                <c:pt idx="67">
                  <c:v>1800</c:v>
                </c:pt>
                <c:pt idx="68">
                  <c:v>1830</c:v>
                </c:pt>
                <c:pt idx="69">
                  <c:v>1860</c:v>
                </c:pt>
                <c:pt idx="70">
                  <c:v>1890</c:v>
                </c:pt>
                <c:pt idx="71">
                  <c:v>1920</c:v>
                </c:pt>
                <c:pt idx="72">
                  <c:v>1950</c:v>
                </c:pt>
                <c:pt idx="73">
                  <c:v>1980</c:v>
                </c:pt>
                <c:pt idx="74">
                  <c:v>2010</c:v>
                </c:pt>
                <c:pt idx="75">
                  <c:v>2040</c:v>
                </c:pt>
                <c:pt idx="76">
                  <c:v>2070</c:v>
                </c:pt>
              </c:numCache>
            </c:numRef>
          </c:xVal>
          <c:yVal>
            <c:numRef>
              <c:f>'[1]TRH 10hP4'!$G$12:$G$88</c:f>
              <c:numCache>
                <c:formatCode>General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6.1403508771932375E-5</c:v>
                </c:pt>
                <c:pt idx="4">
                  <c:v>0.36190350877192978</c:v>
                </c:pt>
                <c:pt idx="5">
                  <c:v>0.44962280701754381</c:v>
                </c:pt>
                <c:pt idx="6">
                  <c:v>0.94304385964912274</c:v>
                </c:pt>
                <c:pt idx="7">
                  <c:v>1.2719912280701753</c:v>
                </c:pt>
                <c:pt idx="8">
                  <c:v>1.293921052631579</c:v>
                </c:pt>
                <c:pt idx="9">
                  <c:v>1.4255000000000002</c:v>
                </c:pt>
                <c:pt idx="10">
                  <c:v>1.4035701754385967</c:v>
                </c:pt>
                <c:pt idx="11">
                  <c:v>1.3158508771929824</c:v>
                </c:pt>
                <c:pt idx="12">
                  <c:v>1.5680438596491229</c:v>
                </c:pt>
                <c:pt idx="13">
                  <c:v>0.80049999999999999</c:v>
                </c:pt>
                <c:pt idx="14">
                  <c:v>1.2719912280701753</c:v>
                </c:pt>
                <c:pt idx="15">
                  <c:v>1.1294473684210526</c:v>
                </c:pt>
                <c:pt idx="16">
                  <c:v>1.8640964912280702</c:v>
                </c:pt>
                <c:pt idx="17">
                  <c:v>1.9298859649122806</c:v>
                </c:pt>
                <c:pt idx="18">
                  <c:v>2.4452368421052633</c:v>
                </c:pt>
                <c:pt idx="19">
                  <c:v>2.7522543859649122</c:v>
                </c:pt>
                <c:pt idx="20">
                  <c:v>2.4452368421052633</c:v>
                </c:pt>
                <c:pt idx="21">
                  <c:v>2.412342105263158</c:v>
                </c:pt>
                <c:pt idx="22">
                  <c:v>2.5658508771929824</c:v>
                </c:pt>
                <c:pt idx="23">
                  <c:v>2.5439210526315787</c:v>
                </c:pt>
                <c:pt idx="24">
                  <c:v>2.368482456140351</c:v>
                </c:pt>
                <c:pt idx="25">
                  <c:v>2.2588333333333335</c:v>
                </c:pt>
                <c:pt idx="26">
                  <c:v>2.1711140350877192</c:v>
                </c:pt>
                <c:pt idx="27">
                  <c:v>2.1601491228070175</c:v>
                </c:pt>
                <c:pt idx="28">
                  <c:v>2.0285701754385967</c:v>
                </c:pt>
                <c:pt idx="29">
                  <c:v>2.0724298245614037</c:v>
                </c:pt>
                <c:pt idx="30">
                  <c:v>1.9956754385964914</c:v>
                </c:pt>
                <c:pt idx="31">
                  <c:v>1.820236842105263</c:v>
                </c:pt>
                <c:pt idx="32">
                  <c:v>1.7983070175438598</c:v>
                </c:pt>
                <c:pt idx="33">
                  <c:v>1.7983070175438598</c:v>
                </c:pt>
                <c:pt idx="34">
                  <c:v>1.6228684210526316</c:v>
                </c:pt>
                <c:pt idx="35">
                  <c:v>1.5461140350877194</c:v>
                </c:pt>
                <c:pt idx="36">
                  <c:v>1.4803245614035088</c:v>
                </c:pt>
                <c:pt idx="37">
                  <c:v>1.3816403508771931</c:v>
                </c:pt>
                <c:pt idx="38">
                  <c:v>1.3816403508771931</c:v>
                </c:pt>
                <c:pt idx="39">
                  <c:v>1.2171666666666665</c:v>
                </c:pt>
                <c:pt idx="40">
                  <c:v>1.1404122807017543</c:v>
                </c:pt>
                <c:pt idx="41">
                  <c:v>1.063657894736842</c:v>
                </c:pt>
                <c:pt idx="42">
                  <c:v>0.97593859649122805</c:v>
                </c:pt>
                <c:pt idx="43">
                  <c:v>0.92111403508771916</c:v>
                </c:pt>
                <c:pt idx="44">
                  <c:v>0.91014912280701743</c:v>
                </c:pt>
                <c:pt idx="45">
                  <c:v>0.81146491228070172</c:v>
                </c:pt>
                <c:pt idx="46">
                  <c:v>0.77857017543859641</c:v>
                </c:pt>
                <c:pt idx="47">
                  <c:v>0.73471052631578937</c:v>
                </c:pt>
                <c:pt idx="48">
                  <c:v>0.6798859649122807</c:v>
                </c:pt>
                <c:pt idx="49">
                  <c:v>0.75664035087719295</c:v>
                </c:pt>
                <c:pt idx="50">
                  <c:v>0.66892105263157897</c:v>
                </c:pt>
                <c:pt idx="51">
                  <c:v>0.71278070175438579</c:v>
                </c:pt>
                <c:pt idx="52">
                  <c:v>0.64699122807017539</c:v>
                </c:pt>
                <c:pt idx="53">
                  <c:v>0.50444736842105253</c:v>
                </c:pt>
                <c:pt idx="54">
                  <c:v>0.39479824561403498</c:v>
                </c:pt>
                <c:pt idx="55">
                  <c:v>0.31804385964912274</c:v>
                </c:pt>
                <c:pt idx="56">
                  <c:v>0.26321929824561402</c:v>
                </c:pt>
                <c:pt idx="57">
                  <c:v>0.23032456140350877</c:v>
                </c:pt>
                <c:pt idx="58">
                  <c:v>0.20839473684210524</c:v>
                </c:pt>
                <c:pt idx="59">
                  <c:v>0.17549999999999999</c:v>
                </c:pt>
                <c:pt idx="60">
                  <c:v>0.14260526315789473</c:v>
                </c:pt>
                <c:pt idx="61">
                  <c:v>0.14260526315789473</c:v>
                </c:pt>
                <c:pt idx="62">
                  <c:v>9.8745614035087734E-2</c:v>
                </c:pt>
                <c:pt idx="63">
                  <c:v>7.6815789473684212E-2</c:v>
                </c:pt>
                <c:pt idx="64">
                  <c:v>4.3921052631578944E-2</c:v>
                </c:pt>
                <c:pt idx="65">
                  <c:v>3.2956140350877197E-2</c:v>
                </c:pt>
                <c:pt idx="66">
                  <c:v>2.1991228070175433E-2</c:v>
                </c:pt>
                <c:pt idx="67">
                  <c:v>1.1026315789473686E-2</c:v>
                </c:pt>
                <c:pt idx="68">
                  <c:v>1.1026315789473686E-2</c:v>
                </c:pt>
                <c:pt idx="69">
                  <c:v>6.1403508771932375E-5</c:v>
                </c:pt>
                <c:pt idx="70">
                  <c:v>6.1403508771932375E-5</c:v>
                </c:pt>
                <c:pt idx="71">
                  <c:v>6.1403508771932375E-5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3F25-4323-A567-C6D9857879AE}"/>
            </c:ext>
          </c:extLst>
        </c:ser>
        <c:ser>
          <c:idx val="1"/>
          <c:order val="1"/>
          <c:tx>
            <c:v>Cal</c:v>
          </c:tx>
          <c:spPr>
            <a:ln w="12700"/>
          </c:spPr>
          <c:marker>
            <c:symbol val="squar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'[1]TRH 10hP4'!$D$13:$D$88</c:f>
              <c:numCache>
                <c:formatCode>General</c:formatCode>
                <c:ptCount val="7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70</c:v>
                </c:pt>
                <c:pt idx="13">
                  <c:v>80</c:v>
                </c:pt>
                <c:pt idx="14">
                  <c:v>90</c:v>
                </c:pt>
                <c:pt idx="15">
                  <c:v>100</c:v>
                </c:pt>
                <c:pt idx="16">
                  <c:v>110</c:v>
                </c:pt>
                <c:pt idx="17">
                  <c:v>120</c:v>
                </c:pt>
                <c:pt idx="18">
                  <c:v>135</c:v>
                </c:pt>
                <c:pt idx="19">
                  <c:v>150</c:v>
                </c:pt>
                <c:pt idx="20">
                  <c:v>165</c:v>
                </c:pt>
                <c:pt idx="21">
                  <c:v>180</c:v>
                </c:pt>
                <c:pt idx="22">
                  <c:v>195</c:v>
                </c:pt>
                <c:pt idx="23">
                  <c:v>210</c:v>
                </c:pt>
                <c:pt idx="24">
                  <c:v>225</c:v>
                </c:pt>
                <c:pt idx="25">
                  <c:v>240</c:v>
                </c:pt>
                <c:pt idx="26">
                  <c:v>255</c:v>
                </c:pt>
                <c:pt idx="27">
                  <c:v>270</c:v>
                </c:pt>
                <c:pt idx="28">
                  <c:v>285</c:v>
                </c:pt>
                <c:pt idx="29">
                  <c:v>300</c:v>
                </c:pt>
                <c:pt idx="30">
                  <c:v>320</c:v>
                </c:pt>
                <c:pt idx="31">
                  <c:v>340</c:v>
                </c:pt>
                <c:pt idx="32">
                  <c:v>360</c:v>
                </c:pt>
                <c:pt idx="33">
                  <c:v>380</c:v>
                </c:pt>
                <c:pt idx="34">
                  <c:v>400</c:v>
                </c:pt>
                <c:pt idx="35">
                  <c:v>420</c:v>
                </c:pt>
                <c:pt idx="36">
                  <c:v>440</c:v>
                </c:pt>
                <c:pt idx="37">
                  <c:v>460</c:v>
                </c:pt>
                <c:pt idx="38">
                  <c:v>480</c:v>
                </c:pt>
                <c:pt idx="39">
                  <c:v>510</c:v>
                </c:pt>
                <c:pt idx="40">
                  <c:v>540</c:v>
                </c:pt>
                <c:pt idx="41">
                  <c:v>570</c:v>
                </c:pt>
                <c:pt idx="42">
                  <c:v>600</c:v>
                </c:pt>
                <c:pt idx="43">
                  <c:v>630</c:v>
                </c:pt>
                <c:pt idx="44">
                  <c:v>660</c:v>
                </c:pt>
                <c:pt idx="45">
                  <c:v>690</c:v>
                </c:pt>
                <c:pt idx="46">
                  <c:v>720</c:v>
                </c:pt>
                <c:pt idx="47">
                  <c:v>750</c:v>
                </c:pt>
                <c:pt idx="48">
                  <c:v>780</c:v>
                </c:pt>
                <c:pt idx="49">
                  <c:v>810</c:v>
                </c:pt>
                <c:pt idx="50">
                  <c:v>840</c:v>
                </c:pt>
                <c:pt idx="51">
                  <c:v>900</c:v>
                </c:pt>
                <c:pt idx="52">
                  <c:v>960</c:v>
                </c:pt>
                <c:pt idx="53">
                  <c:v>1020</c:v>
                </c:pt>
                <c:pt idx="54">
                  <c:v>1080</c:v>
                </c:pt>
                <c:pt idx="55">
                  <c:v>1140</c:v>
                </c:pt>
                <c:pt idx="56">
                  <c:v>1200</c:v>
                </c:pt>
                <c:pt idx="57">
                  <c:v>1260</c:v>
                </c:pt>
                <c:pt idx="58">
                  <c:v>1320</c:v>
                </c:pt>
                <c:pt idx="59">
                  <c:v>1380</c:v>
                </c:pt>
                <c:pt idx="60">
                  <c:v>1440</c:v>
                </c:pt>
                <c:pt idx="61">
                  <c:v>1500</c:v>
                </c:pt>
                <c:pt idx="62">
                  <c:v>1560</c:v>
                </c:pt>
                <c:pt idx="63">
                  <c:v>1620</c:v>
                </c:pt>
                <c:pt idx="64">
                  <c:v>1680</c:v>
                </c:pt>
                <c:pt idx="65">
                  <c:v>1740</c:v>
                </c:pt>
                <c:pt idx="66">
                  <c:v>1800</c:v>
                </c:pt>
                <c:pt idx="67">
                  <c:v>1830</c:v>
                </c:pt>
                <c:pt idx="68">
                  <c:v>1860</c:v>
                </c:pt>
                <c:pt idx="69">
                  <c:v>1890</c:v>
                </c:pt>
                <c:pt idx="70">
                  <c:v>1920</c:v>
                </c:pt>
                <c:pt idx="71">
                  <c:v>1950</c:v>
                </c:pt>
                <c:pt idx="72">
                  <c:v>1980</c:v>
                </c:pt>
                <c:pt idx="73">
                  <c:v>2010</c:v>
                </c:pt>
                <c:pt idx="74">
                  <c:v>2040</c:v>
                </c:pt>
                <c:pt idx="75">
                  <c:v>2070</c:v>
                </c:pt>
              </c:numCache>
            </c:numRef>
          </c:xVal>
          <c:yVal>
            <c:numRef>
              <c:f>'[1]TRH 10hP4'!$H$13:$H$88</c:f>
              <c:numCache>
                <c:formatCode>General</c:formatCode>
                <c:ptCount val="76"/>
                <c:pt idx="0">
                  <c:v>9.7518472288823559E-15</c:v>
                </c:pt>
                <c:pt idx="1">
                  <c:v>2.0406156575519537E-6</c:v>
                </c:pt>
                <c:pt idx="2">
                  <c:v>9.2660875193844856E-4</c:v>
                </c:pt>
                <c:pt idx="3">
                  <c:v>1.7299101741344986E-2</c:v>
                </c:pt>
                <c:pt idx="4">
                  <c:v>9.2490913453818199E-2</c:v>
                </c:pt>
                <c:pt idx="5">
                  <c:v>0.26805281501257749</c:v>
                </c:pt>
                <c:pt idx="6">
                  <c:v>0.55147196530339637</c:v>
                </c:pt>
                <c:pt idx="7">
                  <c:v>0.91997827067205085</c:v>
                </c:pt>
                <c:pt idx="8">
                  <c:v>1.3385564860426633</c:v>
                </c:pt>
                <c:pt idx="9">
                  <c:v>1.7734971300150819</c:v>
                </c:pt>
                <c:pt idx="10">
                  <c:v>2.1984226960612787</c:v>
                </c:pt>
                <c:pt idx="11">
                  <c:v>2.5953915095876154</c:v>
                </c:pt>
                <c:pt idx="12">
                  <c:v>3.2684511099096571</c:v>
                </c:pt>
                <c:pt idx="13">
                  <c:v>3.7642006917185244</c:v>
                </c:pt>
                <c:pt idx="14">
                  <c:v>4.0967137271039249</c:v>
                </c:pt>
                <c:pt idx="15">
                  <c:v>4.2944946395356434</c:v>
                </c:pt>
                <c:pt idx="16">
                  <c:v>4.3873832997369355</c:v>
                </c:pt>
                <c:pt idx="17">
                  <c:v>4.4015705739756861</c:v>
                </c:pt>
                <c:pt idx="18">
                  <c:v>4.3205335968979055</c:v>
                </c:pt>
                <c:pt idx="19">
                  <c:v>4.1620473829707194</c:v>
                </c:pt>
                <c:pt idx="20">
                  <c:v>3.9609901857384848</c:v>
                </c:pt>
                <c:pt idx="21">
                  <c:v>3.739741875484663</c:v>
                </c:pt>
                <c:pt idx="22">
                  <c:v>3.5123669703716307</c:v>
                </c:pt>
                <c:pt idx="23">
                  <c:v>3.2875038161806756</c:v>
                </c:pt>
                <c:pt idx="24">
                  <c:v>3.0702831455994639</c:v>
                </c:pt>
                <c:pt idx="25">
                  <c:v>2.8635820696622556</c:v>
                </c:pt>
                <c:pt idx="26">
                  <c:v>2.668839189420344</c:v>
                </c:pt>
                <c:pt idx="27">
                  <c:v>2.486583901738245</c:v>
                </c:pt>
                <c:pt idx="28">
                  <c:v>2.3167802976371714</c:v>
                </c:pt>
                <c:pt idx="29">
                  <c:v>2.1590506620097152</c:v>
                </c:pt>
                <c:pt idx="30">
                  <c:v>1.9665172052637601</c:v>
                </c:pt>
                <c:pt idx="31">
                  <c:v>1.7927975974300867</c:v>
                </c:pt>
                <c:pt idx="32">
                  <c:v>1.6361768193152471</c:v>
                </c:pt>
                <c:pt idx="33">
                  <c:v>1.4949732057137093</c:v>
                </c:pt>
                <c:pt idx="34">
                  <c:v>1.3676045329007274</c:v>
                </c:pt>
                <c:pt idx="35">
                  <c:v>1.2526175599759857</c:v>
                </c:pt>
                <c:pt idx="36">
                  <c:v>1.1486970348688856</c:v>
                </c:pt>
                <c:pt idx="37">
                  <c:v>1.0546634910149353</c:v>
                </c:pt>
                <c:pt idx="38">
                  <c:v>0.96946526427627344</c:v>
                </c:pt>
                <c:pt idx="39">
                  <c:v>0.85621917870571385</c:v>
                </c:pt>
                <c:pt idx="40">
                  <c:v>0.7580548593749622</c:v>
                </c:pt>
                <c:pt idx="41">
                  <c:v>0.67270351592263167</c:v>
                </c:pt>
                <c:pt idx="42">
                  <c:v>0.59827162999667338</c:v>
                </c:pt>
                <c:pt idx="43">
                  <c:v>0.53317596385981059</c:v>
                </c:pt>
                <c:pt idx="44">
                  <c:v>0.47608924025274707</c:v>
                </c:pt>
                <c:pt idx="45">
                  <c:v>0.42589534262092316</c:v>
                </c:pt>
                <c:pt idx="46">
                  <c:v>0.38165261482195861</c:v>
                </c:pt>
                <c:pt idx="47">
                  <c:v>0.34256388080760747</c:v>
                </c:pt>
                <c:pt idx="48">
                  <c:v>0.30795196421780824</c:v>
                </c:pt>
                <c:pt idx="49">
                  <c:v>0.2772396771267695</c:v>
                </c:pt>
                <c:pt idx="50">
                  <c:v>0.24993342839806282</c:v>
                </c:pt>
                <c:pt idx="51">
                  <c:v>0.20390426155456251</c:v>
                </c:pt>
                <c:pt idx="52">
                  <c:v>0.16713189273468249</c:v>
                </c:pt>
                <c:pt idx="53">
                  <c:v>0.13757040313778959</c:v>
                </c:pt>
                <c:pt idx="54">
                  <c:v>0.11367139706407481</c:v>
                </c:pt>
                <c:pt idx="55">
                  <c:v>9.4251428187556913E-2</c:v>
                </c:pt>
                <c:pt idx="56">
                  <c:v>7.8397828355977653E-2</c:v>
                </c:pt>
                <c:pt idx="57">
                  <c:v>6.5400966816167874E-2</c:v>
                </c:pt>
                <c:pt idx="58">
                  <c:v>5.4704942265381931E-2</c:v>
                </c:pt>
                <c:pt idx="59">
                  <c:v>4.5871294171385156E-2</c:v>
                </c:pt>
                <c:pt idx="60">
                  <c:v>3.855202081177278E-2</c:v>
                </c:pt>
                <c:pt idx="61">
                  <c:v>3.2469325703218116E-2</c:v>
                </c:pt>
                <c:pt idx="62">
                  <c:v>2.7400280115540004E-2</c:v>
                </c:pt>
                <c:pt idx="63">
                  <c:v>2.3165113196085618E-2</c:v>
                </c:pt>
                <c:pt idx="64">
                  <c:v>1.9618203747840349E-2</c:v>
                </c:pt>
                <c:pt idx="65">
                  <c:v>1.664110146031399E-2</c:v>
                </c:pt>
                <c:pt idx="66">
                  <c:v>1.4137084946811077E-2</c:v>
                </c:pt>
                <c:pt idx="67">
                  <c:v>1.3037129792510493E-2</c:v>
                </c:pt>
                <c:pt idx="68">
                  <c:v>1.2026892298517205E-2</c:v>
                </c:pt>
                <c:pt idx="69">
                  <c:v>1.1098640645576519E-2</c:v>
                </c:pt>
                <c:pt idx="70">
                  <c:v>1.0245352514090181E-2</c:v>
                </c:pt>
                <c:pt idx="71">
                  <c:v>9.4606452869149329E-3</c:v>
                </c:pt>
                <c:pt idx="72">
                  <c:v>8.7387136497199501E-3</c:v>
                </c:pt>
                <c:pt idx="73">
                  <c:v>8.0742737420894228E-3</c:v>
                </c:pt>
                <c:pt idx="74">
                  <c:v>7.4625131172466408E-3</c:v>
                </c:pt>
                <c:pt idx="75">
                  <c:v>6.8990458590193803E-3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F25-4323-A567-C6D985787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27889904"/>
        <c:axId val="-1827886096"/>
      </c:scatterChart>
      <c:valAx>
        <c:axId val="-1827889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CO" b="1" i="0" baseline="0"/>
                </a:pPr>
                <a:r>
                  <a:rPr lang="es-CO" b="1" i="0" baseline="0"/>
                  <a:t>t</a:t>
                </a:r>
                <a:r>
                  <a:rPr lang="el-GR" b="1" i="0" baseline="0"/>
                  <a:t>=(</a:t>
                </a:r>
                <a:r>
                  <a:rPr lang="es-CO" b="1" i="0" baseline="0"/>
                  <a:t>min)</a:t>
                </a:r>
              </a:p>
            </c:rich>
          </c:tx>
          <c:layout>
            <c:manualLayout>
              <c:xMode val="edge"/>
              <c:yMode val="edge"/>
              <c:x val="0.37836389694710654"/>
              <c:y val="0.934307765305080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MX"/>
          </a:p>
        </c:txPr>
        <c:crossAx val="-1827886096"/>
        <c:crosses val="autoZero"/>
        <c:crossBetween val="midCat"/>
      </c:valAx>
      <c:valAx>
        <c:axId val="-1827886096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CO" b="1" i="0" baseline="0"/>
                </a:pPr>
                <a:r>
                  <a:rPr lang="es-CO" b="1" i="0" baseline="0"/>
                  <a:t>C (mg/L</a:t>
                </a:r>
                <a:r>
                  <a:rPr lang="el-GR" b="1" i="0" baseline="0"/>
                  <a:t>)</a:t>
                </a:r>
              </a:p>
            </c:rich>
          </c:tx>
          <c:layout>
            <c:manualLayout>
              <c:xMode val="edge"/>
              <c:yMode val="edge"/>
              <c:x val="2.8880888244232628E-2"/>
              <c:y val="0.477536051700631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/>
            </a:pPr>
            <a:endParaRPr lang="es-MX"/>
          </a:p>
        </c:txPr>
        <c:crossAx val="-182788990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0.18536693604088991"/>
          <c:y val="0.83597878640458656"/>
          <c:w val="0.77148673849979565"/>
          <c:h val="5.8946887931914813E-2"/>
        </c:manualLayout>
      </c:layout>
      <c:overlay val="0"/>
      <c:txPr>
        <a:bodyPr/>
        <a:lstStyle/>
        <a:p>
          <a:pPr>
            <a:defRPr lang="es-CO"/>
          </a:pPr>
          <a:endParaRPr lang="es-MX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ahoma" pitchFamily="34" charset="0"/>
          <a:ea typeface="Arial"/>
          <a:cs typeface="Arial"/>
        </a:defRPr>
      </a:pPr>
      <a:endParaRPr lang="es-MX"/>
    </a:p>
  </c:txPr>
  <c:printSettings>
    <c:headerFooter alignWithMargins="0"/>
    <c:pageMargins b="1" l="0.75000000000001465" r="0.7500000000000146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638175</xdr:colOff>
      <xdr:row>9</xdr:row>
      <xdr:rowOff>119062</xdr:rowOff>
    </xdr:from>
    <xdr:ext cx="65" cy="172227"/>
    <xdr:sp macro="" textlink="">
      <xdr:nvSpPr>
        <xdr:cNvPr id="2" name="CuadroTexto 1"/>
        <xdr:cNvSpPr txBox="1"/>
      </xdr:nvSpPr>
      <xdr:spPr>
        <a:xfrm>
          <a:off x="5943600" y="18335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8</xdr:col>
      <xdr:colOff>685800</xdr:colOff>
      <xdr:row>15</xdr:row>
      <xdr:rowOff>152400</xdr:rowOff>
    </xdr:from>
    <xdr:to>
      <xdr:col>10</xdr:col>
      <xdr:colOff>104907</xdr:colOff>
      <xdr:row>18</xdr:row>
      <xdr:rowOff>66743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9425" y="3009900"/>
          <a:ext cx="943107" cy="485843"/>
        </a:xfrm>
        <a:prstGeom prst="rect">
          <a:avLst/>
        </a:prstGeom>
      </xdr:spPr>
    </xdr:pic>
    <xdr:clientData/>
  </xdr:twoCellAnchor>
  <xdr:twoCellAnchor editAs="oneCell">
    <xdr:from>
      <xdr:col>5</xdr:col>
      <xdr:colOff>714375</xdr:colOff>
      <xdr:row>11</xdr:row>
      <xdr:rowOff>85725</xdr:rowOff>
    </xdr:from>
    <xdr:to>
      <xdr:col>9</xdr:col>
      <xdr:colOff>9857</xdr:colOff>
      <xdr:row>15</xdr:row>
      <xdr:rowOff>152516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33900" y="2181225"/>
          <a:ext cx="2381582" cy="8287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86</xdr:row>
      <xdr:rowOff>19050</xdr:rowOff>
    </xdr:from>
    <xdr:to>
      <xdr:col>6</xdr:col>
      <xdr:colOff>628650</xdr:colOff>
      <xdr:row>104</xdr:row>
      <xdr:rowOff>152400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0700-00005B22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542925</xdr:colOff>
      <xdr:row>108</xdr:row>
      <xdr:rowOff>123825</xdr:rowOff>
    </xdr:from>
    <xdr:to>
      <xdr:col>10</xdr:col>
      <xdr:colOff>76201</xdr:colOff>
      <xdr:row>134</xdr:row>
      <xdr:rowOff>95250</xdr:rowOff>
    </xdr:to>
    <xdr:graphicFrame macro="">
      <xdr:nvGraphicFramePr>
        <xdr:cNvPr id="3" name="Chart 5">
          <a:extLst>
            <a:ext uri="{FF2B5EF4-FFF2-40B4-BE49-F238E27FC236}">
              <a16:creationId xmlns="" xmlns:a16="http://schemas.microsoft.com/office/drawing/2014/main" id="{00000000-0008-0000-0700-00005C22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19051</xdr:colOff>
      <xdr:row>87</xdr:row>
      <xdr:rowOff>123825</xdr:rowOff>
    </xdr:from>
    <xdr:to>
      <xdr:col>13</xdr:col>
      <xdr:colOff>314325</xdr:colOff>
      <xdr:row>105</xdr:row>
      <xdr:rowOff>28575</xdr:rowOff>
    </xdr:to>
    <xdr:graphicFrame macro="">
      <xdr:nvGraphicFramePr>
        <xdr:cNvPr id="4" name="Chart 5">
          <a:extLst>
            <a:ext uri="{FF2B5EF4-FFF2-40B4-BE49-F238E27FC236}">
              <a16:creationId xmlns="" xmlns:a16="http://schemas.microsoft.com/office/drawing/2014/main" id="{00000000-0008-0000-0700-00005D22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113</xdr:row>
      <xdr:rowOff>0</xdr:rowOff>
    </xdr:from>
    <xdr:to>
      <xdr:col>6</xdr:col>
      <xdr:colOff>0</xdr:colOff>
      <xdr:row>134</xdr:row>
      <xdr:rowOff>76200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0A00-00003946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333375</xdr:colOff>
      <xdr:row>85</xdr:row>
      <xdr:rowOff>0</xdr:rowOff>
    </xdr:from>
    <xdr:to>
      <xdr:col>7</xdr:col>
      <xdr:colOff>561975</xdr:colOff>
      <xdr:row>108</xdr:row>
      <xdr:rowOff>142875</xdr:rowOff>
    </xdr:to>
    <xdr:graphicFrame macro="">
      <xdr:nvGraphicFramePr>
        <xdr:cNvPr id="3" name="Chart 5">
          <a:extLst>
            <a:ext uri="{FF2B5EF4-FFF2-40B4-BE49-F238E27FC236}">
              <a16:creationId xmlns="" xmlns:a16="http://schemas.microsoft.com/office/drawing/2014/main" id="{00000000-0008-0000-0A00-00003A46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109</xdr:row>
      <xdr:rowOff>0</xdr:rowOff>
    </xdr:from>
    <xdr:to>
      <xdr:col>15</xdr:col>
      <xdr:colOff>323850</xdr:colOff>
      <xdr:row>134</xdr:row>
      <xdr:rowOff>114300</xdr:rowOff>
    </xdr:to>
    <xdr:graphicFrame macro="">
      <xdr:nvGraphicFramePr>
        <xdr:cNvPr id="4" name="Chart 5">
          <a:extLst>
            <a:ext uri="{FF2B5EF4-FFF2-40B4-BE49-F238E27FC236}">
              <a16:creationId xmlns=""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89</xdr:row>
      <xdr:rowOff>38100</xdr:rowOff>
    </xdr:from>
    <xdr:to>
      <xdr:col>6</xdr:col>
      <xdr:colOff>180975</xdr:colOff>
      <xdr:row>112</xdr:row>
      <xdr:rowOff>142875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1000-00005D81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91</xdr:row>
      <xdr:rowOff>114300</xdr:rowOff>
    </xdr:from>
    <xdr:to>
      <xdr:col>6</xdr:col>
      <xdr:colOff>695325</xdr:colOff>
      <xdr:row>111</xdr:row>
      <xdr:rowOff>0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0D00-00007EF1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476250</xdr:colOff>
      <xdr:row>92</xdr:row>
      <xdr:rowOff>95250</xdr:rowOff>
    </xdr:from>
    <xdr:to>
      <xdr:col>15</xdr:col>
      <xdr:colOff>133350</xdr:colOff>
      <xdr:row>113</xdr:row>
      <xdr:rowOff>9525</xdr:rowOff>
    </xdr:to>
    <xdr:graphicFrame macro="">
      <xdr:nvGraphicFramePr>
        <xdr:cNvPr id="3" name="Chart 5">
          <a:extLst>
            <a:ext uri="{FF2B5EF4-FFF2-40B4-BE49-F238E27FC236}">
              <a16:creationId xmlns="" xmlns:a16="http://schemas.microsoft.com/office/drawing/2014/main" id="{00000000-0008-0000-0D00-00007FF1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90</xdr:row>
      <xdr:rowOff>95250</xdr:rowOff>
    </xdr:from>
    <xdr:to>
      <xdr:col>25</xdr:col>
      <xdr:colOff>628650</xdr:colOff>
      <xdr:row>111</xdr:row>
      <xdr:rowOff>9525</xdr:rowOff>
    </xdr:to>
    <xdr:graphicFrame macro="">
      <xdr:nvGraphicFramePr>
        <xdr:cNvPr id="4" name="Chart 5">
          <a:extLst>
            <a:ext uri="{FF2B5EF4-FFF2-40B4-BE49-F238E27FC236}">
              <a16:creationId xmlns="" xmlns:a16="http://schemas.microsoft.com/office/drawing/2014/main" id="{00000000-0008-0000-0D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219074</xdr:colOff>
      <xdr:row>116</xdr:row>
      <xdr:rowOff>28574</xdr:rowOff>
    </xdr:from>
    <xdr:to>
      <xdr:col>13</xdr:col>
      <xdr:colOff>609599</xdr:colOff>
      <xdr:row>140</xdr:row>
      <xdr:rowOff>104775</xdr:rowOff>
    </xdr:to>
    <xdr:graphicFrame macro="">
      <xdr:nvGraphicFramePr>
        <xdr:cNvPr id="5" name="Chart 1">
          <a:extLst>
            <a:ext uri="{FF2B5EF4-FFF2-40B4-BE49-F238E27FC236}">
              <a16:creationId xmlns="" xmlns:a16="http://schemas.microsoft.com/office/drawing/2014/main" id="{00000000-0008-0000-0D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600075</xdr:colOff>
      <xdr:row>111</xdr:row>
      <xdr:rowOff>47625</xdr:rowOff>
    </xdr:from>
    <xdr:to>
      <xdr:col>16</xdr:col>
      <xdr:colOff>257175</xdr:colOff>
      <xdr:row>131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118</xdr:row>
      <xdr:rowOff>0</xdr:rowOff>
    </xdr:from>
    <xdr:to>
      <xdr:col>25</xdr:col>
      <xdr:colOff>209550</xdr:colOff>
      <xdr:row>138</xdr:row>
      <xdr:rowOff>76200</xdr:rowOff>
    </xdr:to>
    <xdr:graphicFrame macro="">
      <xdr:nvGraphicFramePr>
        <xdr:cNvPr id="7" name="Chart 5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101</xdr:row>
      <xdr:rowOff>0</xdr:rowOff>
    </xdr:from>
    <xdr:to>
      <xdr:col>8</xdr:col>
      <xdr:colOff>647700</xdr:colOff>
      <xdr:row>123</xdr:row>
      <xdr:rowOff>152400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1600-0000158A02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704850</xdr:colOff>
      <xdr:row>99</xdr:row>
      <xdr:rowOff>114299</xdr:rowOff>
    </xdr:from>
    <xdr:to>
      <xdr:col>26</xdr:col>
      <xdr:colOff>685800</xdr:colOff>
      <xdr:row>130</xdr:row>
      <xdr:rowOff>76200</xdr:rowOff>
    </xdr:to>
    <xdr:graphicFrame macro="">
      <xdr:nvGraphicFramePr>
        <xdr:cNvPr id="3" name="Chart 5">
          <a:extLst>
            <a:ext uri="{FF2B5EF4-FFF2-40B4-BE49-F238E27FC236}">
              <a16:creationId xmlns="" xmlns:a16="http://schemas.microsoft.com/office/drawing/2014/main" id="{00000000-0008-0000-1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96</xdr:row>
      <xdr:rowOff>0</xdr:rowOff>
    </xdr:from>
    <xdr:to>
      <xdr:col>9</xdr:col>
      <xdr:colOff>485775</xdr:colOff>
      <xdr:row>117</xdr:row>
      <xdr:rowOff>142875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1300-000041790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533400</xdr:colOff>
      <xdr:row>112</xdr:row>
      <xdr:rowOff>104775</xdr:rowOff>
    </xdr:from>
    <xdr:to>
      <xdr:col>18</xdr:col>
      <xdr:colOff>704850</xdr:colOff>
      <xdr:row>135</xdr:row>
      <xdr:rowOff>95250</xdr:rowOff>
    </xdr:to>
    <xdr:graphicFrame macro="">
      <xdr:nvGraphicFramePr>
        <xdr:cNvPr id="3" name="Chart 5">
          <a:extLst>
            <a:ext uri="{FF2B5EF4-FFF2-40B4-BE49-F238E27FC236}">
              <a16:creationId xmlns="" xmlns:a16="http://schemas.microsoft.com/office/drawing/2014/main" id="{00000000-0008-0000-1300-000042790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76200</xdr:colOff>
      <xdr:row>120</xdr:row>
      <xdr:rowOff>76200</xdr:rowOff>
    </xdr:from>
    <xdr:to>
      <xdr:col>8</xdr:col>
      <xdr:colOff>400050</xdr:colOff>
      <xdr:row>146</xdr:row>
      <xdr:rowOff>28575</xdr:rowOff>
    </xdr:to>
    <xdr:graphicFrame macro="">
      <xdr:nvGraphicFramePr>
        <xdr:cNvPr id="4" name="Chart 5">
          <a:extLst>
            <a:ext uri="{FF2B5EF4-FFF2-40B4-BE49-F238E27FC236}">
              <a16:creationId xmlns="" xmlns:a16="http://schemas.microsoft.com/office/drawing/2014/main" id="{00000000-0008-0000-1300-000043790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Simulaciones/Andres/Informaci&#243;n%20_Valaur%202023/Trazadores%20sin%20lodo_3%20entrad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eme"/>
      <sheetName val="Resumen"/>
      <sheetName val="Con 5hP4"/>
      <sheetName val="TRH5hP4"/>
      <sheetName val="D 5hP4"/>
      <sheetName val="Con 5hE"/>
      <sheetName val="TRH 5hE"/>
      <sheetName val="D 5hE"/>
      <sheetName val="Con 8hP4"/>
      <sheetName val="TRH8hP4"/>
      <sheetName val="D 8hP4"/>
      <sheetName val="Con 8hE"/>
      <sheetName val="TRH 8hE"/>
      <sheetName val="D 8hE"/>
      <sheetName val="Con 10hP4"/>
      <sheetName val="TRH 10hP4"/>
      <sheetName val="D 10HP4"/>
      <sheetName val="Con 10hE"/>
      <sheetName val="TRH 10hE"/>
      <sheetName val="D10hE"/>
      <sheetName val="Res"/>
      <sheetName val="Sim"/>
      <sheetName val="Res mod"/>
      <sheetName val="DE"/>
      <sheetName val="M y P"/>
      <sheetName val="RES P4"/>
      <sheetName val="DP4"/>
    </sheetNames>
    <sheetDataSet>
      <sheetData sheetId="0"/>
      <sheetData sheetId="1">
        <row r="6">
          <cell r="N6">
            <v>1.2320833333333334</v>
          </cell>
          <cell r="O6">
            <v>0.24641666666666667</v>
          </cell>
        </row>
        <row r="7">
          <cell r="N7">
            <v>1.3925745614035088</v>
          </cell>
          <cell r="O7">
            <v>0.27851491228070174</v>
          </cell>
        </row>
        <row r="8">
          <cell r="N8">
            <v>1.420523138832998</v>
          </cell>
          <cell r="O8">
            <v>0.28410462776659962</v>
          </cell>
        </row>
        <row r="10">
          <cell r="N10">
            <v>1.3761271929824561</v>
          </cell>
          <cell r="O10">
            <v>0.27522543859649123</v>
          </cell>
        </row>
        <row r="11">
          <cell r="N11">
            <v>1.7105570175438596</v>
          </cell>
          <cell r="O11">
            <v>0.34211140350877189</v>
          </cell>
        </row>
        <row r="12">
          <cell r="N12">
            <v>1.8883299798792756</v>
          </cell>
          <cell r="O12">
            <v>0.37766599597585515</v>
          </cell>
        </row>
      </sheetData>
      <sheetData sheetId="2">
        <row r="33">
          <cell r="E33">
            <v>0</v>
          </cell>
        </row>
        <row r="34">
          <cell r="E34">
            <v>0</v>
          </cell>
        </row>
        <row r="35">
          <cell r="E35">
            <v>0.17505030181086517</v>
          </cell>
        </row>
        <row r="36">
          <cell r="E36">
            <v>1.5835010060362174</v>
          </cell>
        </row>
        <row r="37">
          <cell r="E37">
            <v>2.0362173038229376</v>
          </cell>
        </row>
        <row r="38">
          <cell r="E38">
            <v>2.3581488933601609</v>
          </cell>
        </row>
        <row r="39">
          <cell r="E39">
            <v>3.1529175050301812</v>
          </cell>
        </row>
        <row r="40">
          <cell r="E40">
            <v>3.2334004024144871</v>
          </cell>
        </row>
        <row r="41">
          <cell r="E41">
            <v>3.7766599597585513</v>
          </cell>
        </row>
        <row r="42">
          <cell r="E42">
            <v>3.2233400402414487</v>
          </cell>
        </row>
        <row r="43">
          <cell r="E43">
            <v>1.9054325955734408</v>
          </cell>
        </row>
        <row r="44">
          <cell r="E44">
            <v>3.0824949698189137</v>
          </cell>
        </row>
        <row r="45">
          <cell r="E45">
            <v>2.7404426559356141</v>
          </cell>
        </row>
        <row r="46">
          <cell r="E46">
            <v>2.901408450704225</v>
          </cell>
        </row>
        <row r="47">
          <cell r="E47">
            <v>3.2334004024144871</v>
          </cell>
        </row>
        <row r="48">
          <cell r="E48">
            <v>2.7706237424547289</v>
          </cell>
        </row>
        <row r="49">
          <cell r="E49">
            <v>2.7605633802816905</v>
          </cell>
        </row>
        <row r="50">
          <cell r="E50">
            <v>2.9114688128772634</v>
          </cell>
        </row>
        <row r="51">
          <cell r="E51">
            <v>2.8309859154929575</v>
          </cell>
        </row>
        <row r="52">
          <cell r="E52">
            <v>2.7102615694164993</v>
          </cell>
        </row>
        <row r="53">
          <cell r="E53">
            <v>2.6398390342052314</v>
          </cell>
        </row>
        <row r="54">
          <cell r="E54">
            <v>2.6599597585513082</v>
          </cell>
        </row>
        <row r="55">
          <cell r="E55">
            <v>2.5191146881287727</v>
          </cell>
        </row>
        <row r="56">
          <cell r="E56">
            <v>2.3581488933601609</v>
          </cell>
        </row>
        <row r="57">
          <cell r="E57">
            <v>2.408450704225352</v>
          </cell>
        </row>
        <row r="58">
          <cell r="E58">
            <v>2.5191146881287727</v>
          </cell>
        </row>
        <row r="59">
          <cell r="E59">
            <v>2.5995975855130786</v>
          </cell>
        </row>
        <row r="60">
          <cell r="E60">
            <v>2.6700201207243461</v>
          </cell>
        </row>
        <row r="61">
          <cell r="E61">
            <v>2.5995975855130786</v>
          </cell>
        </row>
        <row r="62">
          <cell r="E62">
            <v>2.4989939637826963</v>
          </cell>
        </row>
        <row r="63">
          <cell r="E63">
            <v>2.3782696177062372</v>
          </cell>
        </row>
        <row r="64">
          <cell r="E64">
            <v>2.4486921529175052</v>
          </cell>
        </row>
        <row r="65">
          <cell r="E65">
            <v>2.3380281690140845</v>
          </cell>
        </row>
        <row r="66">
          <cell r="E66">
            <v>2.2474849094567406</v>
          </cell>
        </row>
        <row r="67">
          <cell r="E67">
            <v>2.0462776659959756</v>
          </cell>
        </row>
        <row r="68">
          <cell r="E68">
            <v>2.0261569416498992</v>
          </cell>
        </row>
        <row r="69">
          <cell r="E69">
            <v>1.8953722334004024</v>
          </cell>
        </row>
        <row r="70">
          <cell r="E70">
            <v>1.8148893360160965</v>
          </cell>
        </row>
        <row r="71">
          <cell r="E71">
            <v>1.704225352112676</v>
          </cell>
        </row>
        <row r="72">
          <cell r="E72">
            <v>1.6136820925553321</v>
          </cell>
        </row>
        <row r="73">
          <cell r="E73">
            <v>1.5935613682092555</v>
          </cell>
        </row>
        <row r="74">
          <cell r="E74">
            <v>1.5533199195171026</v>
          </cell>
        </row>
        <row r="75">
          <cell r="E75">
            <v>1.4124748490945673</v>
          </cell>
        </row>
        <row r="76">
          <cell r="E76">
            <v>1.4325955734406439</v>
          </cell>
        </row>
        <row r="77">
          <cell r="E77">
            <v>1.3420523138833</v>
          </cell>
        </row>
        <row r="78">
          <cell r="E78">
            <v>1.2012072434607646</v>
          </cell>
        </row>
        <row r="79">
          <cell r="E79">
            <v>1.1710261569416498</v>
          </cell>
        </row>
        <row r="80">
          <cell r="E80">
            <v>1.0804828973843057</v>
          </cell>
        </row>
        <row r="81">
          <cell r="E81">
            <v>1.0100603621730382</v>
          </cell>
        </row>
        <row r="82">
          <cell r="E82">
            <v>0.94969818913480897</v>
          </cell>
        </row>
        <row r="83">
          <cell r="E83">
            <v>0.86921529175050305</v>
          </cell>
        </row>
        <row r="84">
          <cell r="E84">
            <v>0.82897384305835009</v>
          </cell>
        </row>
        <row r="85">
          <cell r="E85">
            <v>0.74849094567404417</v>
          </cell>
        </row>
        <row r="86">
          <cell r="E86">
            <v>0.68812877263581473</v>
          </cell>
        </row>
        <row r="87">
          <cell r="E87">
            <v>0.64788732394366211</v>
          </cell>
        </row>
        <row r="88">
          <cell r="E88">
            <v>0.56740442655935608</v>
          </cell>
        </row>
        <row r="89">
          <cell r="E89">
            <v>0.44668008048289737</v>
          </cell>
        </row>
        <row r="90">
          <cell r="E90">
            <v>0.44668008048289737</v>
          </cell>
        </row>
        <row r="91">
          <cell r="E91">
            <v>0.43661971830985913</v>
          </cell>
        </row>
        <row r="92">
          <cell r="E92">
            <v>0.35613682092555332</v>
          </cell>
        </row>
        <row r="93">
          <cell r="E93">
            <v>0.29577464788732394</v>
          </cell>
        </row>
        <row r="94">
          <cell r="E94">
            <v>0.27565392354124746</v>
          </cell>
        </row>
        <row r="95">
          <cell r="E95">
            <v>0.23541247484909456</v>
          </cell>
        </row>
        <row r="96">
          <cell r="E96">
            <v>0.19517102615694165</v>
          </cell>
        </row>
        <row r="97">
          <cell r="E97">
            <v>0.17505030181086517</v>
          </cell>
        </row>
        <row r="98">
          <cell r="E98">
            <v>0.11468812877263582</v>
          </cell>
        </row>
        <row r="99">
          <cell r="E99">
            <v>9.4567404426559351E-2</v>
          </cell>
        </row>
        <row r="100">
          <cell r="E100">
            <v>6.438631790744466E-2</v>
          </cell>
        </row>
        <row r="101">
          <cell r="E101">
            <v>4.4265593561368201E-2</v>
          </cell>
        </row>
      </sheetData>
      <sheetData sheetId="3">
        <row r="12">
          <cell r="L12">
            <v>0</v>
          </cell>
          <cell r="M12">
            <v>0</v>
          </cell>
          <cell r="N12">
            <v>0.23344080211807225</v>
          </cell>
          <cell r="Q12">
            <v>0</v>
          </cell>
        </row>
        <row r="13">
          <cell r="L13">
            <v>1.684636118598383E-2</v>
          </cell>
          <cell r="M13">
            <v>0</v>
          </cell>
          <cell r="N13">
            <v>0.23907689120383141</v>
          </cell>
          <cell r="P13">
            <v>8.6987516900036387E-32</v>
          </cell>
          <cell r="Q13">
            <v>0.28278010021928268</v>
          </cell>
        </row>
        <row r="14">
          <cell r="L14">
            <v>3.3692722371967659E-2</v>
          </cell>
          <cell r="M14">
            <v>4.18981095765594E-2</v>
          </cell>
          <cell r="N14">
            <v>0.24474983517469412</v>
          </cell>
          <cell r="P14">
            <v>1.5995879359028233E-15</v>
          </cell>
          <cell r="Q14">
            <v>0.37140011333582834</v>
          </cell>
        </row>
        <row r="15">
          <cell r="L15">
            <v>5.0539083557951489E-2</v>
          </cell>
          <cell r="M15">
            <v>0.37900933605462361</v>
          </cell>
          <cell r="N15">
            <v>0.25045585629512601</v>
          </cell>
          <cell r="P15">
            <v>3.8144878185873978E-10</v>
          </cell>
          <cell r="Q15">
            <v>0.43128210699350555</v>
          </cell>
        </row>
        <row r="16">
          <cell r="L16">
            <v>6.7385444743935319E-2</v>
          </cell>
          <cell r="M16">
            <v>0.48736651599400138</v>
          </cell>
          <cell r="N16">
            <v>0.25619104730098274</v>
          </cell>
          <cell r="P16">
            <v>1.7662106343692299E-7</v>
          </cell>
          <cell r="Q16">
            <v>0.47619800270551937</v>
          </cell>
        </row>
        <row r="17">
          <cell r="L17">
            <v>8.4231805929919149E-2</v>
          </cell>
          <cell r="M17">
            <v>0.56442051061755882</v>
          </cell>
          <cell r="N17">
            <v>0.26195137478638836</v>
          </cell>
          <cell r="P17">
            <v>6.7874067485225252E-6</v>
          </cell>
          <cell r="Q17">
            <v>0.51146674877613807</v>
          </cell>
        </row>
        <row r="18">
          <cell r="L18">
            <v>0.10107816711590298</v>
          </cell>
          <cell r="M18">
            <v>0.75464755984446652</v>
          </cell>
          <cell r="N18">
            <v>0.26773268292733693</v>
          </cell>
          <cell r="P18">
            <v>7.5465771776813908E-5</v>
          </cell>
          <cell r="Q18">
            <v>0.53983287371364852</v>
          </cell>
        </row>
        <row r="19">
          <cell r="L19">
            <v>0.11792452830188681</v>
          </cell>
          <cell r="M19">
            <v>0.77391105850035591</v>
          </cell>
          <cell r="N19">
            <v>0.27353069754057485</v>
          </cell>
          <cell r="P19">
            <v>4.1406439704236574E-4</v>
          </cell>
          <cell r="Q19">
            <v>0.56294362264348585</v>
          </cell>
        </row>
        <row r="20">
          <cell r="L20">
            <v>0.13477088948787064</v>
          </cell>
          <cell r="M20">
            <v>0.90393967442760925</v>
          </cell>
          <cell r="N20">
            <v>0.27934103047532133</v>
          </cell>
          <cell r="P20">
            <v>1.4633046287316593E-3</v>
          </cell>
          <cell r="Q20">
            <v>0.5818858636863814</v>
          </cell>
        </row>
        <row r="21">
          <cell r="L21">
            <v>0.15161725067385445</v>
          </cell>
          <cell r="M21">
            <v>0.77150312116836972</v>
          </cell>
          <cell r="N21">
            <v>0.28515918433438048</v>
          </cell>
          <cell r="P21">
            <v>3.8607263908634433E-3</v>
          </cell>
          <cell r="Q21">
            <v>0.59742506008164042</v>
          </cell>
        </row>
        <row r="22">
          <cell r="L22">
            <v>0.1684636118598383</v>
          </cell>
          <cell r="M22">
            <v>0.45606333067818117</v>
          </cell>
          <cell r="N22">
            <v>0.29098055752017621</v>
          </cell>
          <cell r="P22">
            <v>8.3071913560594998E-3</v>
          </cell>
          <cell r="Q22">
            <v>0.61012664502292624</v>
          </cell>
        </row>
        <row r="23">
          <cell r="L23">
            <v>0.18530997304582211</v>
          </cell>
          <cell r="M23">
            <v>0.73779199852056332</v>
          </cell>
          <cell r="N23">
            <v>0.29680044960021429</v>
          </cell>
          <cell r="P23">
            <v>1.5419157378107312E-2</v>
          </cell>
          <cell r="Q23">
            <v>0.62042374458331184</v>
          </cell>
        </row>
        <row r="24">
          <cell r="L24">
            <v>0.20215633423180596</v>
          </cell>
          <cell r="M24">
            <v>0.6559221292330335</v>
          </cell>
          <cell r="N24">
            <v>0.30261406698544691</v>
          </cell>
          <cell r="P24">
            <v>2.5627028693855521E-2</v>
          </cell>
          <cell r="Q24">
            <v>0.62865773629718391</v>
          </cell>
        </row>
        <row r="25">
          <cell r="L25">
            <v>0.21900269541778977</v>
          </cell>
          <cell r="M25">
            <v>0.69444912654481217</v>
          </cell>
          <cell r="N25">
            <v>0.3084165289139808</v>
          </cell>
          <cell r="P25">
            <v>3.913486213561318E-2</v>
          </cell>
          <cell r="Q25">
            <v>0.63510392332488574</v>
          </cell>
        </row>
        <row r="26">
          <cell r="L26">
            <v>0.23584905660377362</v>
          </cell>
          <cell r="M26">
            <v>0.77391105850035591</v>
          </cell>
          <cell r="N26">
            <v>0.31420287373154737</v>
          </cell>
          <cell r="P26">
            <v>5.5928964008034307E-2</v>
          </cell>
          <cell r="Q26">
            <v>0.63998852889377444</v>
          </cell>
        </row>
        <row r="27">
          <cell r="L27">
            <v>0.25269541778975746</v>
          </cell>
          <cell r="M27">
            <v>0.66314594122899206</v>
          </cell>
          <cell r="N27">
            <v>0.31996806545912737</v>
          </cell>
          <cell r="P27">
            <v>7.581505128068633E-2</v>
          </cell>
          <cell r="Q27">
            <v>0.64350036729462756</v>
          </cell>
        </row>
        <row r="28">
          <cell r="L28">
            <v>0.26954177897574128</v>
          </cell>
          <cell r="M28">
            <v>0.66073800389700588</v>
          </cell>
          <cell r="N28">
            <v>0.32570700063712155</v>
          </cell>
          <cell r="P28">
            <v>9.846649918263399E-2</v>
          </cell>
          <cell r="Q28">
            <v>0.64579911058002881</v>
          </cell>
        </row>
        <row r="29">
          <cell r="L29">
            <v>0.28638814016172509</v>
          </cell>
          <cell r="M29">
            <v>0.69685706387679835</v>
          </cell>
          <cell r="N29">
            <v>0.3314145154344591</v>
          </cell>
          <cell r="P29">
            <v>0.1234721790420741</v>
          </cell>
          <cell r="Q29">
            <v>0.64702130020440862</v>
          </cell>
        </row>
        <row r="30">
          <cell r="L30">
            <v>0.30323450134770891</v>
          </cell>
          <cell r="M30">
            <v>0.67759356522090897</v>
          </cell>
          <cell r="N30">
            <v>0.33708539301006724</v>
          </cell>
          <cell r="P30">
            <v>0.15037782084027904</v>
          </cell>
          <cell r="Q30">
            <v>0.64728481921166858</v>
          </cell>
        </row>
        <row r="31">
          <cell r="L31">
            <v>0.32008086253369278</v>
          </cell>
          <cell r="M31">
            <v>0.64869831723707505</v>
          </cell>
          <cell r="N31">
            <v>0.3427143711131726</v>
          </cell>
          <cell r="P31">
            <v>0.17871862580379011</v>
          </cell>
          <cell r="Q31">
            <v>0.64669228574087534</v>
          </cell>
        </row>
        <row r="32">
          <cell r="L32">
            <v>0.33692722371967659</v>
          </cell>
          <cell r="M32">
            <v>0.63184275591317174</v>
          </cell>
          <cell r="N32">
            <v>0.34829614990798113</v>
          </cell>
          <cell r="P32">
            <v>0.20804308765286963</v>
          </cell>
          <cell r="Q32">
            <v>0.64533367328564339</v>
          </cell>
        </row>
        <row r="33">
          <cell r="L33">
            <v>0.36500449236298294</v>
          </cell>
          <cell r="M33">
            <v>0.63665863057714411</v>
          </cell>
          <cell r="N33">
            <v>0.35747974243003916</v>
          </cell>
          <cell r="P33">
            <v>0.25797416975608328</v>
          </cell>
          <cell r="Q33">
            <v>0.6415784353287235</v>
          </cell>
        </row>
        <row r="34">
          <cell r="L34">
            <v>0.39308176100628933</v>
          </cell>
          <cell r="M34">
            <v>0.60294750792933771</v>
          </cell>
          <cell r="N34">
            <v>0.36649262571537244</v>
          </cell>
          <cell r="P34">
            <v>0.30777907412852251</v>
          </cell>
          <cell r="Q34">
            <v>0.63622693623460291</v>
          </cell>
        </row>
        <row r="35">
          <cell r="L35">
            <v>0.42115902964959573</v>
          </cell>
          <cell r="M35">
            <v>0.56442051061755882</v>
          </cell>
          <cell r="N35">
            <v>0.3753099568801152</v>
          </cell>
          <cell r="P35">
            <v>0.35610138375686151</v>
          </cell>
          <cell r="Q35">
            <v>0.62954033560076805</v>
          </cell>
        </row>
        <row r="36">
          <cell r="L36">
            <v>0.44923629829290213</v>
          </cell>
          <cell r="M36">
            <v>0.57646019727748976</v>
          </cell>
          <cell r="N36">
            <v>0.38390694936162789</v>
          </cell>
          <cell r="P36">
            <v>0.40192384961986721</v>
          </cell>
          <cell r="Q36">
            <v>0.62173756001936176</v>
          </cell>
        </row>
        <row r="37">
          <cell r="L37">
            <v>0.47731356693620847</v>
          </cell>
          <cell r="M37">
            <v>0.60294750792933771</v>
          </cell>
          <cell r="N37">
            <v>0.39225898714025476</v>
          </cell>
          <cell r="P37">
            <v>0.44453133611008333</v>
          </cell>
          <cell r="Q37">
            <v>0.61300376202396356</v>
          </cell>
        </row>
        <row r="38">
          <cell r="L38">
            <v>0.50539083557951492</v>
          </cell>
          <cell r="M38">
            <v>0.6222110065852271</v>
          </cell>
          <cell r="N38">
            <v>0.4003417406717395</v>
          </cell>
          <cell r="P38">
            <v>0.48346216321013169</v>
          </cell>
          <cell r="Q38">
            <v>0.60349667710841803</v>
          </cell>
        </row>
        <row r="39">
          <cell r="L39">
            <v>0.5334681042228212</v>
          </cell>
          <cell r="M39">
            <v>0.6390665679091303</v>
          </cell>
          <cell r="N39">
            <v>0.4081312837783494</v>
          </cell>
          <cell r="P39">
            <v>0.51845839553670137</v>
          </cell>
          <cell r="Q39">
            <v>0.59335149610911631</v>
          </cell>
        </row>
        <row r="40">
          <cell r="L40">
            <v>0.5615453728661276</v>
          </cell>
          <cell r="M40">
            <v>0.6222110065852271</v>
          </cell>
          <cell r="N40">
            <v>0.41560421072234777</v>
          </cell>
          <cell r="P40">
            <v>0.54942034754050217</v>
          </cell>
          <cell r="Q40">
            <v>0.58268466458407497</v>
          </cell>
        </row>
        <row r="41">
          <cell r="L41">
            <v>0.589622641509434</v>
          </cell>
          <cell r="M41">
            <v>0.59813163326536534</v>
          </cell>
          <cell r="N41">
            <v>0.42273775266757158</v>
          </cell>
          <cell r="P41">
            <v>0.57636745370904541</v>
          </cell>
          <cell r="Q41">
            <v>0.57159689080783471</v>
          </cell>
        </row>
        <row r="42">
          <cell r="L42">
            <v>0.61769991015274039</v>
          </cell>
          <cell r="M42">
            <v>0.5692363852815312</v>
          </cell>
          <cell r="N42">
            <v>0.42950989272383661</v>
          </cell>
          <cell r="P42">
            <v>0.59940593730252778</v>
          </cell>
          <cell r="Q42">
            <v>0.56017555947187769</v>
          </cell>
        </row>
        <row r="43">
          <cell r="L43">
            <v>0.64577717879604679</v>
          </cell>
          <cell r="M43">
            <v>0.58609194660543451</v>
          </cell>
          <cell r="N43">
            <v>0.43589947876495305</v>
          </cell>
          <cell r="P43">
            <v>0.61870285037068473</v>
          </cell>
          <cell r="Q43">
            <v>0.54849669184080097</v>
          </cell>
        </row>
        <row r="44">
          <cell r="L44">
            <v>0.67385444743935319</v>
          </cell>
          <cell r="M44">
            <v>0.55960463595358656</v>
          </cell>
          <cell r="N44">
            <v>0.44188633321446774</v>
          </cell>
          <cell r="P44">
            <v>0.63446568942802839</v>
          </cell>
          <cell r="Q44">
            <v>0.53662655472138487</v>
          </cell>
        </row>
        <row r="45">
          <cell r="L45">
            <v>0.73000898472596587</v>
          </cell>
          <cell r="M45">
            <v>0.53793319996571098</v>
          </cell>
          <cell r="N45">
            <v>0.45257664092670485</v>
          </cell>
          <cell r="P45">
            <v>0.65633094800542857</v>
          </cell>
          <cell r="Q45">
            <v>0.5125365489021646</v>
          </cell>
        </row>
        <row r="46">
          <cell r="L46">
            <v>0.78616352201257866</v>
          </cell>
          <cell r="M46">
            <v>0.48977445332598746</v>
          </cell>
          <cell r="N46">
            <v>0.46144279156314266</v>
          </cell>
          <cell r="P46">
            <v>0.666963314647808</v>
          </cell>
          <cell r="Q46">
            <v>0.48828612523550097</v>
          </cell>
        </row>
        <row r="47">
          <cell r="L47">
            <v>0.84231805929919146</v>
          </cell>
          <cell r="M47">
            <v>0.48495857866201514</v>
          </cell>
          <cell r="N47">
            <v>0.4683685913294145</v>
          </cell>
          <cell r="P47">
            <v>0.66830118180040188</v>
          </cell>
          <cell r="Q47">
            <v>0.46416580464272794</v>
          </cell>
        </row>
        <row r="48">
          <cell r="L48">
            <v>0.89847259658580425</v>
          </cell>
          <cell r="M48">
            <v>0.45365539334619492</v>
          </cell>
          <cell r="N48">
            <v>0.4732622103415407</v>
          </cell>
          <cell r="P48">
            <v>0.66213097988324343</v>
          </cell>
          <cell r="Q48">
            <v>0.44039657763915274</v>
          </cell>
        </row>
        <row r="49">
          <cell r="L49">
            <v>0.95462713387241693</v>
          </cell>
          <cell r="M49">
            <v>0.43439189469030554</v>
          </cell>
          <cell r="N49">
            <v>0.47605820871486232</v>
          </cell>
          <cell r="P49">
            <v>0.65003206045549444</v>
          </cell>
          <cell r="Q49">
            <v>0.41714517082178715</v>
          </cell>
        </row>
        <row r="50">
          <cell r="L50">
            <v>1.0107816711590298</v>
          </cell>
          <cell r="M50">
            <v>0.40790458403845764</v>
          </cell>
          <cell r="N50">
            <v>0.47671899285003644</v>
          </cell>
          <cell r="P50">
            <v>0.63336307166986627</v>
          </cell>
          <cell r="Q50">
            <v>0.3945356148088181</v>
          </cell>
        </row>
        <row r="51">
          <cell r="L51">
            <v>1.0669362084456424</v>
          </cell>
          <cell r="M51">
            <v>0.38623314805058212</v>
          </cell>
          <cell r="N51">
            <v>0.47523565661356643</v>
          </cell>
          <cell r="P51">
            <v>0.61327036159318637</v>
          </cell>
          <cell r="Q51">
            <v>0.37265814796622387</v>
          </cell>
        </row>
        <row r="52">
          <cell r="L52">
            <v>1.1230907457322552</v>
          </cell>
          <cell r="M52">
            <v>0.38141727338660975</v>
          </cell>
          <cell r="N52">
            <v>0.4716281811015447</v>
          </cell>
          <cell r="P52">
            <v>0.5907069675845994</v>
          </cell>
          <cell r="Q52">
            <v>0.3515761591499964</v>
          </cell>
        </row>
        <row r="53">
          <cell r="L53">
            <v>1.179245283018868</v>
          </cell>
          <cell r="M53">
            <v>0.37178552405866505</v>
          </cell>
          <cell r="N53">
            <v>0.4659449867230383</v>
          </cell>
          <cell r="P53">
            <v>0.56645566650776846</v>
          </cell>
          <cell r="Q53">
            <v>0.33133166003868292</v>
          </cell>
        </row>
        <row r="54">
          <cell r="L54">
            <v>1.2353998203054808</v>
          </cell>
          <cell r="M54">
            <v>0.33807440141085865</v>
          </cell>
          <cell r="N54">
            <v>0.45826185163943134</v>
          </cell>
          <cell r="P54">
            <v>0.54115250938072312</v>
          </cell>
          <cell r="Q54">
            <v>0.31194963710263257</v>
          </cell>
        </row>
        <row r="55">
          <cell r="L55">
            <v>1.2915543575920936</v>
          </cell>
          <cell r="M55">
            <v>0.34289027607483102</v>
          </cell>
          <cell r="N55">
            <v>0.44868023033123866</v>
          </cell>
          <cell r="P55">
            <v>0.51530900043692829</v>
          </cell>
          <cell r="Q55">
            <v>0.29344153801228667</v>
          </cell>
        </row>
        <row r="56">
          <cell r="L56">
            <v>1.3477088948787064</v>
          </cell>
          <cell r="M56">
            <v>0.3212188400869555</v>
          </cell>
          <cell r="N56">
            <v>0.43732502444533783</v>
          </cell>
          <cell r="P56">
            <v>0.48933208248351567</v>
          </cell>
          <cell r="Q56">
            <v>0.27580808126218026</v>
          </cell>
        </row>
        <row r="57">
          <cell r="L57">
            <v>1.4319407008086256</v>
          </cell>
          <cell r="M57">
            <v>0.28750771743914899</v>
          </cell>
          <cell r="N57">
            <v>0.41729024606533222</v>
          </cell>
          <cell r="P57">
            <v>0.4507962948899914</v>
          </cell>
          <cell r="Q57">
            <v>0.25097907907712241</v>
          </cell>
        </row>
        <row r="58">
          <cell r="L58">
            <v>1.5161725067385445</v>
          </cell>
          <cell r="M58">
            <v>0.28028390544319048</v>
          </cell>
          <cell r="N58">
            <v>0.3941590586735389</v>
          </cell>
          <cell r="P58">
            <v>0.41345280147996116</v>
          </cell>
          <cell r="Q58">
            <v>0.22804668519544188</v>
          </cell>
        </row>
        <row r="59">
          <cell r="L59">
            <v>1.6004043126684637</v>
          </cell>
          <cell r="M59">
            <v>0.25861246945531491</v>
          </cell>
          <cell r="N59">
            <v>0.36855657644927425</v>
          </cell>
          <cell r="P59">
            <v>0.37781814045418882</v>
          </cell>
          <cell r="Q59">
            <v>0.20693570051066856</v>
          </cell>
        </row>
        <row r="60">
          <cell r="L60">
            <v>1.6846361185983829</v>
          </cell>
          <cell r="M60">
            <v>0.24175690813141174</v>
          </cell>
          <cell r="N60">
            <v>0.34114278638422091</v>
          </cell>
          <cell r="P60">
            <v>0.34420806574063301</v>
          </cell>
          <cell r="Q60">
            <v>0.18755621814721543</v>
          </cell>
        </row>
        <row r="61">
          <cell r="L61">
            <v>1.7688679245283021</v>
          </cell>
          <cell r="M61">
            <v>0.22730928413949472</v>
          </cell>
          <cell r="N61">
            <v>0.31258461152001421</v>
          </cell>
          <cell r="P61">
            <v>0.31279245739230255</v>
          </cell>
          <cell r="Q61">
            <v>0.16980959874407361</v>
          </cell>
        </row>
        <row r="62">
          <cell r="L62">
            <v>1.8530997304582213</v>
          </cell>
          <cell r="M62">
            <v>0.20804578548360533</v>
          </cell>
          <cell r="N62">
            <v>0.28352957696594688</v>
          </cell>
          <cell r="P62">
            <v>0.28363670578205513</v>
          </cell>
          <cell r="Q62">
            <v>0.15359286223495167</v>
          </cell>
        </row>
        <row r="63">
          <cell r="L63">
            <v>1.9373315363881403</v>
          </cell>
          <cell r="M63">
            <v>0.19841403615566064</v>
          </cell>
          <cell r="N63">
            <v>0.2545824842968657</v>
          </cell>
          <cell r="P63">
            <v>0.25673268653165454</v>
          </cell>
          <cell r="Q63">
            <v>0.13880189286306388</v>
          </cell>
        </row>
        <row r="64">
          <cell r="L64">
            <v>2.0215633423180597</v>
          </cell>
          <cell r="M64">
            <v>0.17915053749977122</v>
          </cell>
          <cell r="N64">
            <v>0.22628618712213816</v>
          </cell>
          <cell r="P64">
            <v>0.23202180301399192</v>
          </cell>
          <cell r="Q64">
            <v>0.12533375028082916</v>
          </cell>
        </row>
        <row r="65">
          <cell r="L65">
            <v>2.1338724168912848</v>
          </cell>
          <cell r="M65">
            <v>0.16470291350785418</v>
          </cell>
          <cell r="N65">
            <v>0.19036422119501004</v>
          </cell>
          <cell r="P65">
            <v>0.20232322841618613</v>
          </cell>
          <cell r="Q65">
            <v>0.10926144559262579</v>
          </cell>
        </row>
        <row r="66">
          <cell r="L66">
            <v>2.2461814914645104</v>
          </cell>
          <cell r="M66">
            <v>0.15507116417990954</v>
          </cell>
          <cell r="N66">
            <v>0.1572857123309408</v>
          </cell>
          <cell r="P66">
            <v>0.17608578995897517</v>
          </cell>
          <cell r="Q66">
            <v>9.5137171923834807E-2</v>
          </cell>
        </row>
        <row r="67">
          <cell r="L67">
            <v>2.358490566037736</v>
          </cell>
          <cell r="M67">
            <v>0.13580766552402013</v>
          </cell>
          <cell r="N67">
            <v>0.12763503040231469</v>
          </cell>
          <cell r="P67">
            <v>0.15300707224646057</v>
          </cell>
          <cell r="Q67">
            <v>8.2750048215310359E-2</v>
          </cell>
        </row>
        <row r="68">
          <cell r="L68">
            <v>2.4707996406109616</v>
          </cell>
          <cell r="M68">
            <v>0.10691241754018606</v>
          </cell>
          <cell r="N68">
            <v>0.10172487484810437</v>
          </cell>
          <cell r="P68">
            <v>0.13277769892970945</v>
          </cell>
          <cell r="Q68">
            <v>7.1905862993326963E-2</v>
          </cell>
        </row>
        <row r="69">
          <cell r="L69">
            <v>2.5831087151841872</v>
          </cell>
          <cell r="M69">
            <v>0.10691241754018606</v>
          </cell>
          <cell r="N69">
            <v>7.9627138248048263E-2</v>
          </cell>
          <cell r="P69">
            <v>0.11509606573194618</v>
          </cell>
          <cell r="Q69">
            <v>6.2427494855267406E-2</v>
          </cell>
        </row>
        <row r="70">
          <cell r="L70">
            <v>2.6954177897574128</v>
          </cell>
          <cell r="M70">
            <v>0.10450448020819988</v>
          </cell>
          <cell r="N70">
            <v>6.1216954038488959E-2</v>
          </cell>
          <cell r="P70">
            <v>9.9677058283682909E-2</v>
          </cell>
          <cell r="Q70">
            <v>5.4154656236158623E-2</v>
          </cell>
        </row>
        <row r="71">
          <cell r="L71">
            <v>2.8638814016172511</v>
          </cell>
          <cell r="M71">
            <v>8.524098155231051E-2</v>
          </cell>
          <cell r="N71">
            <v>3.9895037520050081E-2</v>
          </cell>
          <cell r="P71">
            <v>8.0220009128386172E-2</v>
          </cell>
          <cell r="Q71">
            <v>4.369463203778505E-2</v>
          </cell>
        </row>
        <row r="72">
          <cell r="L72">
            <v>3.0323450134770891</v>
          </cell>
          <cell r="M72">
            <v>7.0793357560393483E-2</v>
          </cell>
          <cell r="N72">
            <v>2.4966837596401704E-2</v>
          </cell>
          <cell r="P72">
            <v>6.4473465930018639E-2</v>
          </cell>
          <cell r="Q72">
            <v>3.520270834558719E-2</v>
          </cell>
        </row>
        <row r="73">
          <cell r="L73">
            <v>3.2008086253369274</v>
          </cell>
          <cell r="M73">
            <v>6.5977482896421122E-2</v>
          </cell>
          <cell r="N73">
            <v>1.5003952894498259E-2</v>
          </cell>
          <cell r="P73">
            <v>5.1763136379621405E-2</v>
          </cell>
          <cell r="Q73">
            <v>2.8323667264588872E-2</v>
          </cell>
        </row>
        <row r="74">
          <cell r="L74">
            <v>3.3692722371967658</v>
          </cell>
          <cell r="M74">
            <v>5.6345733568476442E-2</v>
          </cell>
          <cell r="N74">
            <v>8.6585535047320455E-3</v>
          </cell>
          <cell r="P74">
            <v>4.1524270183273489E-2</v>
          </cell>
          <cell r="Q74">
            <v>2.2761835377852528E-2</v>
          </cell>
        </row>
        <row r="75">
          <cell r="L75">
            <v>3.5377358490566042</v>
          </cell>
          <cell r="M75">
            <v>4.6713984240531747E-2</v>
          </cell>
          <cell r="N75">
            <v>4.798245837523381E-3</v>
          </cell>
          <cell r="P75">
            <v>3.3289226472145342E-2</v>
          </cell>
          <cell r="Q75">
            <v>1.8272576775108833E-2</v>
          </cell>
        </row>
        <row r="76">
          <cell r="L76">
            <v>3.7061994609164426</v>
          </cell>
          <cell r="M76">
            <v>4.18981095765594E-2</v>
          </cell>
          <cell r="N76">
            <v>2.5533899385621296E-3</v>
          </cell>
          <cell r="P76">
            <v>2.667395064925077E-2</v>
          </cell>
          <cell r="Q76">
            <v>1.4654477614714775E-2</v>
          </cell>
        </row>
        <row r="77">
          <cell r="L77">
            <v>4.0431266846361194</v>
          </cell>
          <cell r="M77">
            <v>2.7450485584642369E-2</v>
          </cell>
          <cell r="N77">
            <v>6.4029325899630585E-4</v>
          </cell>
          <cell r="P77">
            <v>1.7107486142455174E-2</v>
          </cell>
          <cell r="Q77">
            <v>9.4013634052926547E-3</v>
          </cell>
        </row>
        <row r="78">
          <cell r="L78">
            <v>4.3800539083557952</v>
          </cell>
          <cell r="M78">
            <v>2.2634610920670022E-2</v>
          </cell>
          <cell r="N78">
            <v>1.365308221819025E-4</v>
          </cell>
          <cell r="P78">
            <v>1.0961853997130238E-2</v>
          </cell>
          <cell r="Q78">
            <v>6.0133435519236491E-3</v>
          </cell>
        </row>
        <row r="79">
          <cell r="L79">
            <v>4.716981132075472</v>
          </cell>
          <cell r="M79">
            <v>1.5410798924711503E-2</v>
          </cell>
          <cell r="N79">
            <v>2.4755543784105235E-5</v>
          </cell>
          <cell r="P79">
            <v>7.0204746633026165E-3</v>
          </cell>
          <cell r="Q79">
            <v>3.8365252030547188E-3</v>
          </cell>
        </row>
        <row r="80">
          <cell r="L80">
            <v>5.0539083557951487</v>
          </cell>
          <cell r="M80">
            <v>1.0594924260739158E-2</v>
          </cell>
          <cell r="N80">
            <v>3.8168423705221397E-6</v>
          </cell>
          <cell r="P80">
            <v>4.4952765775929842E-3</v>
          </cell>
          <cell r="Q80">
            <v>2.442357925096872E-3</v>
          </cell>
        </row>
      </sheetData>
      <sheetData sheetId="4"/>
      <sheetData sheetId="5"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2.4144869215291753E-2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2.4144869215291753E-2</v>
          </cell>
        </row>
        <row r="33">
          <cell r="E33">
            <v>6.438631790744466E-2</v>
          </cell>
        </row>
        <row r="34">
          <cell r="E34">
            <v>0.19517102615694165</v>
          </cell>
        </row>
        <row r="35">
          <cell r="E35">
            <v>0.66800804828973825</v>
          </cell>
        </row>
        <row r="36">
          <cell r="E36">
            <v>1.3319919517102616</v>
          </cell>
        </row>
        <row r="37">
          <cell r="E37">
            <v>1.9657947686116701</v>
          </cell>
        </row>
        <row r="38">
          <cell r="E38">
            <v>2.3983903420523141</v>
          </cell>
        </row>
        <row r="39">
          <cell r="E39">
            <v>2.6498993963782698</v>
          </cell>
        </row>
        <row r="40">
          <cell r="E40">
            <v>2.7706237424547289</v>
          </cell>
        </row>
        <row r="41">
          <cell r="E41">
            <v>2.8410462776659959</v>
          </cell>
        </row>
        <row r="42">
          <cell r="E42">
            <v>2.7404426559356141</v>
          </cell>
        </row>
        <row r="43">
          <cell r="E43">
            <v>2.7605633802816905</v>
          </cell>
        </row>
        <row r="44">
          <cell r="E44">
            <v>2.7907444668008043</v>
          </cell>
        </row>
        <row r="45">
          <cell r="E45">
            <v>2.7002012072434609</v>
          </cell>
        </row>
        <row r="46">
          <cell r="E46">
            <v>2.5694164989939638</v>
          </cell>
        </row>
        <row r="47">
          <cell r="E47">
            <v>2.4688128772635816</v>
          </cell>
        </row>
        <row r="48">
          <cell r="E48">
            <v>2.3581488933601609</v>
          </cell>
        </row>
        <row r="49">
          <cell r="E49">
            <v>2.3179074446680081</v>
          </cell>
        </row>
        <row r="50">
          <cell r="E50">
            <v>2.1770623742454727</v>
          </cell>
        </row>
        <row r="51">
          <cell r="E51">
            <v>2.1368209255533199</v>
          </cell>
        </row>
        <row r="52">
          <cell r="E52">
            <v>2.0060362173038229</v>
          </cell>
        </row>
        <row r="53">
          <cell r="E53">
            <v>2.0261569416498992</v>
          </cell>
        </row>
        <row r="54">
          <cell r="E54">
            <v>1.9054325955734408</v>
          </cell>
        </row>
        <row r="55">
          <cell r="E55">
            <v>1.8953722334004024</v>
          </cell>
        </row>
        <row r="56">
          <cell r="E56">
            <v>1.8551307847082494</v>
          </cell>
        </row>
        <row r="57">
          <cell r="E57">
            <v>1.7344064386317908</v>
          </cell>
        </row>
        <row r="58">
          <cell r="E58">
            <v>1.6338028169014085</v>
          </cell>
        </row>
        <row r="59">
          <cell r="E59">
            <v>1.5432595573440644</v>
          </cell>
        </row>
        <row r="60">
          <cell r="E60">
            <v>1.4627766599597585</v>
          </cell>
        </row>
        <row r="61">
          <cell r="E61">
            <v>1.3722334004024144</v>
          </cell>
        </row>
        <row r="62">
          <cell r="E62">
            <v>1.3118712273641853</v>
          </cell>
        </row>
        <row r="63">
          <cell r="E63">
            <v>1.2515090543259557</v>
          </cell>
        </row>
        <row r="64">
          <cell r="E64">
            <v>1.1609657947686116</v>
          </cell>
        </row>
        <row r="65">
          <cell r="E65">
            <v>1.1207243460764587</v>
          </cell>
        </row>
        <row r="66">
          <cell r="E66">
            <v>0.98993963782696159</v>
          </cell>
        </row>
        <row r="67">
          <cell r="E67">
            <v>0.96981891348088545</v>
          </cell>
        </row>
        <row r="68">
          <cell r="E68">
            <v>0.91951710261569419</v>
          </cell>
        </row>
        <row r="69">
          <cell r="E69">
            <v>0.68812877263581473</v>
          </cell>
        </row>
        <row r="70">
          <cell r="E70">
            <v>0.71830985915492951</v>
          </cell>
        </row>
        <row r="71">
          <cell r="E71">
            <v>0.72837022132796769</v>
          </cell>
        </row>
        <row r="72">
          <cell r="E72">
            <v>0.60764587525150904</v>
          </cell>
        </row>
        <row r="73">
          <cell r="E73">
            <v>0.50704225352112675</v>
          </cell>
        </row>
        <row r="74">
          <cell r="E74">
            <v>0.4164989939637827</v>
          </cell>
        </row>
        <row r="75">
          <cell r="E75">
            <v>0.3762575452716298</v>
          </cell>
        </row>
        <row r="76">
          <cell r="E76">
            <v>0.40643863179074446</v>
          </cell>
        </row>
        <row r="77">
          <cell r="E77">
            <v>0.33601609657947684</v>
          </cell>
        </row>
        <row r="78">
          <cell r="E78">
            <v>0.20523138832997989</v>
          </cell>
        </row>
        <row r="79">
          <cell r="E79">
            <v>0.13480885311871227</v>
          </cell>
        </row>
        <row r="80">
          <cell r="E80">
            <v>8.4507042253521125E-2</v>
          </cell>
        </row>
        <row r="81">
          <cell r="E81">
            <v>5.4325955734406441E-2</v>
          </cell>
        </row>
      </sheetData>
      <sheetData sheetId="6">
        <row r="12">
          <cell r="D12">
            <v>0</v>
          </cell>
          <cell r="F12">
            <v>0</v>
          </cell>
          <cell r="L12">
            <v>0</v>
          </cell>
          <cell r="M12">
            <v>0</v>
          </cell>
          <cell r="N12">
            <v>0.17256063929519819</v>
          </cell>
          <cell r="P12" t="e">
            <v>#DIV/0!</v>
          </cell>
          <cell r="Q12">
            <v>0</v>
          </cell>
        </row>
        <row r="13">
          <cell r="D13">
            <v>3</v>
          </cell>
          <cell r="F13">
            <v>0</v>
          </cell>
          <cell r="L13">
            <v>9.7125097125097121E-3</v>
          </cell>
          <cell r="M13">
            <v>0</v>
          </cell>
          <cell r="N13">
            <v>0.17703945699569976</v>
          </cell>
          <cell r="P13">
            <v>3.7008767069807377E-85</v>
          </cell>
          <cell r="Q13">
            <v>6.1378113574190223E-3</v>
          </cell>
        </row>
        <row r="14">
          <cell r="D14">
            <v>6</v>
          </cell>
          <cell r="F14">
            <v>0</v>
          </cell>
          <cell r="L14">
            <v>1.9425019425019424E-2</v>
          </cell>
          <cell r="M14">
            <v>0</v>
          </cell>
          <cell r="N14">
            <v>0.18158910380631371</v>
          </cell>
          <cell r="P14">
            <v>4.4174298485756012E-41</v>
          </cell>
          <cell r="Q14">
            <v>1.878974767077346E-2</v>
          </cell>
        </row>
        <row r="15">
          <cell r="D15">
            <v>9</v>
          </cell>
          <cell r="F15">
            <v>2.4144869215291753E-2</v>
          </cell>
          <cell r="L15">
            <v>2.913752913752914E-2</v>
          </cell>
          <cell r="M15">
            <v>9.9648655448996096E-3</v>
          </cell>
          <cell r="N15">
            <v>0.18620909536076305</v>
          </cell>
          <cell r="P15">
            <v>1.6528536700077289E-26</v>
          </cell>
          <cell r="Q15">
            <v>3.576984215349456E-2</v>
          </cell>
        </row>
        <row r="16">
          <cell r="D16">
            <v>12</v>
          </cell>
          <cell r="F16">
            <v>0</v>
          </cell>
          <cell r="L16">
            <v>3.8850038850038848E-2</v>
          </cell>
          <cell r="M16">
            <v>0</v>
          </cell>
          <cell r="N16">
            <v>0.19089888146717707</v>
          </cell>
          <cell r="P16">
            <v>2.7875703346217797E-19</v>
          </cell>
          <cell r="Q16">
            <v>5.6058947424251805E-2</v>
          </cell>
        </row>
        <row r="17">
          <cell r="D17">
            <v>15</v>
          </cell>
          <cell r="F17">
            <v>0</v>
          </cell>
          <cell r="L17">
            <v>4.856254856254856E-2</v>
          </cell>
          <cell r="M17">
            <v>0</v>
          </cell>
          <cell r="N17">
            <v>0.19565784499074806</v>
          </cell>
          <cell r="P17">
            <v>5.5608285694590185E-15</v>
          </cell>
          <cell r="Q17">
            <v>7.8974888825242048E-2</v>
          </cell>
        </row>
        <row r="18">
          <cell r="D18">
            <v>18</v>
          </cell>
          <cell r="F18">
            <v>0</v>
          </cell>
          <cell r="L18">
            <v>5.8275058275058279E-2</v>
          </cell>
          <cell r="M18">
            <v>0</v>
          </cell>
          <cell r="N18">
            <v>0.20048530079284985</v>
          </cell>
          <cell r="P18">
            <v>3.8644341349916276E-12</v>
          </cell>
          <cell r="Q18">
            <v>0.10400580851622863</v>
          </cell>
        </row>
        <row r="19">
          <cell r="D19">
            <v>21</v>
          </cell>
          <cell r="F19">
            <v>0</v>
          </cell>
          <cell r="L19">
            <v>6.7987567987567984E-2</v>
          </cell>
          <cell r="M19">
            <v>0</v>
          </cell>
          <cell r="N19">
            <v>0.20538049472965192</v>
          </cell>
          <cell r="P19">
            <v>3.9724986382889585E-10</v>
          </cell>
          <cell r="Q19">
            <v>0.13074449375650574</v>
          </cell>
        </row>
        <row r="20">
          <cell r="D20">
            <v>24</v>
          </cell>
          <cell r="F20">
            <v>0</v>
          </cell>
          <cell r="L20">
            <v>7.7700077700077697E-2</v>
          </cell>
          <cell r="M20">
            <v>0</v>
          </cell>
          <cell r="N20">
            <v>0.21034260271323277</v>
          </cell>
          <cell r="P20">
            <v>1.2424351176257291E-8</v>
          </cell>
          <cell r="Q20">
            <v>0.15885543915236511</v>
          </cell>
        </row>
        <row r="21">
          <cell r="D21">
            <v>27</v>
          </cell>
          <cell r="F21">
            <v>0</v>
          </cell>
          <cell r="L21">
            <v>8.7412587412587409E-2</v>
          </cell>
          <cell r="M21">
            <v>0</v>
          </cell>
          <cell r="N21">
            <v>0.21537072983815972</v>
          </cell>
          <cell r="P21">
            <v>1.7630963634462573E-7</v>
          </cell>
          <cell r="Q21">
            <v>0.18805584201437189</v>
          </cell>
        </row>
        <row r="22">
          <cell r="D22">
            <v>30</v>
          </cell>
          <cell r="F22">
            <v>0</v>
          </cell>
          <cell r="L22">
            <v>9.7125097125097121E-2</v>
          </cell>
          <cell r="M22">
            <v>0</v>
          </cell>
          <cell r="N22">
            <v>0.22046390957646053</v>
          </cell>
          <cell r="P22">
            <v>1.4419300482726147E-6</v>
          </cell>
          <cell r="Q22">
            <v>0.2181035594239738</v>
          </cell>
        </row>
        <row r="23">
          <cell r="D23">
            <v>33</v>
          </cell>
          <cell r="F23">
            <v>0</v>
          </cell>
          <cell r="L23">
            <v>0.10683760683760683</v>
          </cell>
          <cell r="M23">
            <v>0</v>
          </cell>
          <cell r="N23">
            <v>0.22562110304386013</v>
          </cell>
          <cell r="P23">
            <v>7.910661934492252E-6</v>
          </cell>
          <cell r="Q23">
            <v>0.24878894239593183</v>
          </cell>
        </row>
        <row r="24">
          <cell r="D24">
            <v>36</v>
          </cell>
          <cell r="F24">
            <v>0</v>
          </cell>
          <cell r="L24">
            <v>0.11655011655011656</v>
          </cell>
          <cell r="M24">
            <v>0</v>
          </cell>
          <cell r="N24">
            <v>0.23084119834010022</v>
          </cell>
          <cell r="P24">
            <v>3.2205319078784838E-5</v>
          </cell>
          <cell r="Q24">
            <v>0.27992900738097432</v>
          </cell>
        </row>
        <row r="25">
          <cell r="D25">
            <v>39</v>
          </cell>
          <cell r="F25">
            <v>0</v>
          </cell>
          <cell r="L25">
            <v>0.12626262626262627</v>
          </cell>
          <cell r="M25">
            <v>0</v>
          </cell>
          <cell r="N25">
            <v>0.23612300996609428</v>
          </cell>
          <cell r="P25">
            <v>1.0431977831490266E-4</v>
          </cell>
          <cell r="Q25">
            <v>0.31136310525117461</v>
          </cell>
        </row>
        <row r="26">
          <cell r="D26">
            <v>42</v>
          </cell>
          <cell r="F26">
            <v>0</v>
          </cell>
          <cell r="L26">
            <v>0.13597513597513597</v>
          </cell>
          <cell r="M26">
            <v>0</v>
          </cell>
          <cell r="N26">
            <v>0.24146527832060097</v>
          </cell>
          <cell r="P26">
            <v>2.8255473212725706E-4</v>
          </cell>
          <cell r="Q26">
            <v>0.34294959724153407</v>
          </cell>
        </row>
        <row r="27">
          <cell r="D27">
            <v>45</v>
          </cell>
          <cell r="F27">
            <v>0</v>
          </cell>
          <cell r="L27">
            <v>0.14568764568764569</v>
          </cell>
          <cell r="M27">
            <v>0</v>
          </cell>
          <cell r="N27">
            <v>0.24686666927901699</v>
          </cell>
          <cell r="P27">
            <v>6.6361363639125736E-4</v>
          </cell>
          <cell r="Q27">
            <v>0.37456323527355229</v>
          </cell>
        </row>
        <row r="28">
          <cell r="D28">
            <v>48</v>
          </cell>
          <cell r="F28">
            <v>0</v>
          </cell>
          <cell r="L28">
            <v>0.15540015540015539</v>
          </cell>
          <cell r="M28">
            <v>0</v>
          </cell>
          <cell r="N28">
            <v>0.25232577385680915</v>
          </cell>
          <cell r="P28">
            <v>1.3887042122163159E-3</v>
          </cell>
          <cell r="Q28">
            <v>0.40609305148441427</v>
          </cell>
        </row>
        <row r="29">
          <cell r="D29">
            <v>51</v>
          </cell>
          <cell r="F29">
            <v>0</v>
          </cell>
          <cell r="L29">
            <v>0.16511266511266512</v>
          </cell>
          <cell r="M29">
            <v>0</v>
          </cell>
          <cell r="N29">
            <v>0.25784110796000959</v>
          </cell>
          <cell r="P29">
            <v>2.6435671074664961E-3</v>
          </cell>
          <cell r="Q29">
            <v>0.43744062626533986</v>
          </cell>
        </row>
        <row r="30">
          <cell r="D30">
            <v>54</v>
          </cell>
          <cell r="F30">
            <v>0</v>
          </cell>
          <cell r="L30">
            <v>0.17482517482517482</v>
          </cell>
          <cell r="M30">
            <v>0</v>
          </cell>
          <cell r="N30">
            <v>0.26341111222510161</v>
          </cell>
          <cell r="P30">
            <v>4.6520317910007693E-3</v>
          </cell>
          <cell r="Q30">
            <v>0.46851864446396352</v>
          </cell>
        </row>
        <row r="31">
          <cell r="D31">
            <v>57</v>
          </cell>
          <cell r="F31">
            <v>2.4144869215291753E-2</v>
          </cell>
          <cell r="L31">
            <v>0.18453768453768454</v>
          </cell>
          <cell r="M31">
            <v>9.9648655448996096E-3</v>
          </cell>
          <cell r="N31">
            <v>0.26903415195051256</v>
          </cell>
          <cell r="P31">
            <v>7.6642146286735853E-3</v>
          </cell>
          <cell r="Q31">
            <v>0.49924967556477479</v>
          </cell>
        </row>
        <row r="32">
          <cell r="D32">
            <v>60</v>
          </cell>
          <cell r="F32">
            <v>6.438631790744466E-2</v>
          </cell>
          <cell r="L32">
            <v>0.19425019425019424</v>
          </cell>
          <cell r="M32">
            <v>2.6572974786398952E-2</v>
          </cell>
          <cell r="N32">
            <v>0.27470851712182343</v>
          </cell>
          <cell r="P32">
            <v>1.1941387034227702E-2</v>
          </cell>
          <cell r="Q32">
            <v>0.52956513114480652</v>
          </cell>
        </row>
        <row r="33">
          <cell r="D33">
            <v>65</v>
          </cell>
          <cell r="F33">
            <v>0.19517102615694165</v>
          </cell>
          <cell r="L33">
            <v>0.21043771043771045</v>
          </cell>
          <cell r="M33">
            <v>8.0549329821271831E-2</v>
          </cell>
          <cell r="N33">
            <v>0.28427496629764093</v>
          </cell>
          <cell r="P33">
            <v>2.2568266447504884E-2</v>
          </cell>
          <cell r="Q33">
            <v>0.5790059327030781</v>
          </cell>
        </row>
        <row r="34">
          <cell r="D34">
            <v>70</v>
          </cell>
          <cell r="F34">
            <v>0.66800804828973825</v>
          </cell>
          <cell r="L34">
            <v>0.22662522662522663</v>
          </cell>
          <cell r="M34">
            <v>0.27569461340888907</v>
          </cell>
          <cell r="N34">
            <v>0.29397026941691567</v>
          </cell>
          <cell r="P34">
            <v>3.8447332063266372E-2</v>
          </cell>
          <cell r="Q34">
            <v>0.62688885284841234</v>
          </cell>
        </row>
        <row r="35">
          <cell r="D35">
            <v>75</v>
          </cell>
          <cell r="F35">
            <v>1.3319919517102616</v>
          </cell>
          <cell r="L35">
            <v>0.24281274281274282</v>
          </cell>
          <cell r="M35">
            <v>0.54972841589362842</v>
          </cell>
          <cell r="N35">
            <v>0.30378512575347827</v>
          </cell>
          <cell r="P35">
            <v>6.0313310216858471E-2</v>
          </cell>
          <cell r="Q35">
            <v>0.67302281112154727</v>
          </cell>
        </row>
        <row r="36">
          <cell r="D36">
            <v>80</v>
          </cell>
          <cell r="F36">
            <v>1.9657947686116701</v>
          </cell>
          <cell r="L36">
            <v>0.25900025900025903</v>
          </cell>
          <cell r="M36">
            <v>0.81130613644724314</v>
          </cell>
          <cell r="N36">
            <v>0.31370966753862595</v>
          </cell>
          <cell r="P36">
            <v>8.8521723640062042E-2</v>
          </cell>
          <cell r="Q36">
            <v>0.71725664691435242</v>
          </cell>
        </row>
        <row r="37">
          <cell r="D37">
            <v>85</v>
          </cell>
          <cell r="F37">
            <v>2.3983903420523141</v>
          </cell>
          <cell r="L37">
            <v>0.27518777518777521</v>
          </cell>
          <cell r="M37">
            <v>0.98984331079336108</v>
          </cell>
          <cell r="N37">
            <v>0.32373346889421867</v>
          </cell>
          <cell r="P37">
            <v>0.12303767356175757</v>
          </cell>
          <cell r="Q37">
            <v>0.75947332404973589</v>
          </cell>
        </row>
        <row r="38">
          <cell r="D38">
            <v>90</v>
          </cell>
          <cell r="F38">
            <v>2.6498993963782698</v>
          </cell>
          <cell r="L38">
            <v>0.29137529137529139</v>
          </cell>
          <cell r="M38">
            <v>1.093643993552732</v>
          </cell>
          <cell r="N38">
            <v>0.33384555702986468</v>
          </cell>
          <cell r="P38">
            <v>0.16347548008787693</v>
          </cell>
          <cell r="Q38">
            <v>0.79958506589582279</v>
          </cell>
        </row>
        <row r="39">
          <cell r="D39">
            <v>95</v>
          </cell>
          <cell r="F39">
            <v>2.7706237424547289</v>
          </cell>
          <cell r="L39">
            <v>0.30756280756280757</v>
          </cell>
          <cell r="M39">
            <v>1.1434683212772303</v>
          </cell>
          <cell r="N39">
            <v>0.34403442573074511</v>
          </cell>
          <cell r="P39">
            <v>0.20916846764727218</v>
          </cell>
          <cell r="Q39">
            <v>0.83752923143724278</v>
          </cell>
        </row>
        <row r="40">
          <cell r="D40">
            <v>100</v>
          </cell>
          <cell r="F40">
            <v>2.8410462776659959</v>
          </cell>
          <cell r="L40">
            <v>0.32375032375032375</v>
          </cell>
          <cell r="M40">
            <v>1.1725325124498538</v>
          </cell>
          <cell r="N40">
            <v>0.35428805115217216</v>
          </cell>
          <cell r="P40">
            <v>0.25925068231936538</v>
          </cell>
          <cell r="Q40">
            <v>0.8732647912040985</v>
          </cell>
        </row>
        <row r="41">
          <cell r="D41">
            <v>105</v>
          </cell>
          <cell r="F41">
            <v>2.7404426559356141</v>
          </cell>
          <cell r="L41">
            <v>0.33993783993783994</v>
          </cell>
          <cell r="M41">
            <v>1.1310122393461057</v>
          </cell>
          <cell r="N41">
            <v>0.36459390992610358</v>
          </cell>
          <cell r="P41">
            <v>0.31273732326968778</v>
          </cell>
          <cell r="Q41">
            <v>0.90676929576821086</v>
          </cell>
        </row>
        <row r="42">
          <cell r="D42">
            <v>110</v>
          </cell>
          <cell r="F42">
            <v>2.7605633802816905</v>
          </cell>
          <cell r="L42">
            <v>0.35612535612535612</v>
          </cell>
          <cell r="M42">
            <v>1.1393162939668553</v>
          </cell>
          <cell r="N42">
            <v>0.37493899957359184</v>
          </cell>
          <cell r="P42">
            <v>0.36859580443342566</v>
          </cell>
          <cell r="Q42">
            <v>0.93803625367053922</v>
          </cell>
        </row>
        <row r="43">
          <cell r="D43">
            <v>115</v>
          </cell>
          <cell r="F43">
            <v>2.7907444668008043</v>
          </cell>
          <cell r="L43">
            <v>0.3723128723128723</v>
          </cell>
          <cell r="M43">
            <v>1.1517723758979794</v>
          </cell>
          <cell r="N43">
            <v>0.3853098612055888</v>
          </cell>
          <cell r="P43">
            <v>0.42580354558504285</v>
          </cell>
          <cell r="Q43">
            <v>0.96707285327499726</v>
          </cell>
        </row>
        <row r="44">
          <cell r="D44">
            <v>120</v>
          </cell>
          <cell r="F44">
            <v>2.7002012072434609</v>
          </cell>
          <cell r="L44">
            <v>0.38850038850038848</v>
          </cell>
          <cell r="M44">
            <v>1.1144041301046061</v>
          </cell>
          <cell r="N44">
            <v>0.39569260448273624</v>
          </cell>
          <cell r="P44">
            <v>0.4833915361181344</v>
          </cell>
          <cell r="Q44">
            <v>0.99389797616425812</v>
          </cell>
        </row>
        <row r="45">
          <cell r="D45">
            <v>130</v>
          </cell>
          <cell r="F45">
            <v>2.5694164989939638</v>
          </cell>
          <cell r="L45">
            <v>0.4208754208754209</v>
          </cell>
          <cell r="M45">
            <v>1.0604277750697333</v>
          </cell>
          <cell r="N45">
            <v>0.41643618259223492</v>
          </cell>
          <cell r="P45">
            <v>0.59626971815310159</v>
          </cell>
          <cell r="Q45">
            <v>1.0410375734342217</v>
          </cell>
        </row>
        <row r="46">
          <cell r="D46">
            <v>140</v>
          </cell>
          <cell r="F46">
            <v>2.4688128772635816</v>
          </cell>
          <cell r="L46">
            <v>0.45325045325045327</v>
          </cell>
          <cell r="M46">
            <v>1.018907501965985</v>
          </cell>
          <cell r="N46">
            <v>0.43705106849163272</v>
          </cell>
          <cell r="P46">
            <v>0.70142594245687717</v>
          </cell>
          <cell r="Q46">
            <v>1.0797790681262249</v>
          </cell>
        </row>
        <row r="47">
          <cell r="D47">
            <v>150</v>
          </cell>
          <cell r="F47">
            <v>2.3581488933601609</v>
          </cell>
          <cell r="L47">
            <v>0.48562548562548563</v>
          </cell>
          <cell r="M47">
            <v>0.97323520155186172</v>
          </cell>
          <cell r="N47">
            <v>0.45741365173538706</v>
          </cell>
          <cell r="P47">
            <v>0.79483405018131603</v>
          </cell>
          <cell r="Q47">
            <v>1.1105423049233669</v>
          </cell>
        </row>
        <row r="48">
          <cell r="D48">
            <v>160</v>
          </cell>
          <cell r="F48">
            <v>2.3179074446680081</v>
          </cell>
          <cell r="L48">
            <v>0.51800051800051805</v>
          </cell>
          <cell r="M48">
            <v>0.95662709231036236</v>
          </cell>
          <cell r="N48">
            <v>0.47739653698056761</v>
          </cell>
          <cell r="P48">
            <v>0.87411152883357801</v>
          </cell>
          <cell r="Q48">
            <v>1.1338115338894033</v>
          </cell>
        </row>
        <row r="49">
          <cell r="D49">
            <v>170</v>
          </cell>
          <cell r="F49">
            <v>2.1770623742454727</v>
          </cell>
          <cell r="L49">
            <v>0.55037555037555042</v>
          </cell>
          <cell r="M49">
            <v>0.89849870996511461</v>
          </cell>
          <cell r="N49">
            <v>0.49686981349985787</v>
          </cell>
          <cell r="P49">
            <v>0.93822682893237064</v>
          </cell>
          <cell r="Q49">
            <v>1.1501110584739025</v>
          </cell>
        </row>
        <row r="50">
          <cell r="D50">
            <v>180</v>
          </cell>
          <cell r="F50">
            <v>2.1368209255533199</v>
          </cell>
          <cell r="L50">
            <v>0.58275058275058278</v>
          </cell>
          <cell r="M50">
            <v>0.88189060072361536</v>
          </cell>
          <cell r="N50">
            <v>0.51570241756899193</v>
          </cell>
          <cell r="P50">
            <v>0.98716782981243956</v>
          </cell>
          <cell r="Q50">
            <v>1.159986393996721</v>
          </cell>
        </row>
        <row r="51">
          <cell r="D51">
            <v>190</v>
          </cell>
          <cell r="F51">
            <v>2.0060362173038229</v>
          </cell>
          <cell r="L51">
            <v>0.61512561512561514</v>
          </cell>
          <cell r="M51">
            <v>0.82791424568874239</v>
          </cell>
          <cell r="N51">
            <v>0.53376356864364649</v>
          </cell>
          <cell r="P51">
            <v>1.0216344934241792</v>
          </cell>
          <cell r="Q51">
            <v>1.1639897633340215</v>
          </cell>
        </row>
        <row r="52">
          <cell r="D52">
            <v>200</v>
          </cell>
          <cell r="F52">
            <v>2.0261569416498992</v>
          </cell>
          <cell r="L52">
            <v>0.64750064750064751</v>
          </cell>
          <cell r="M52">
            <v>0.83621830030949207</v>
          </cell>
          <cell r="N52">
            <v>0.55092425797576905</v>
          </cell>
          <cell r="P52">
            <v>1.042782362607962</v>
          </cell>
          <cell r="Q52">
            <v>1.1626690282678449</v>
          </cell>
        </row>
        <row r="53">
          <cell r="D53">
            <v>210</v>
          </cell>
          <cell r="F53">
            <v>1.9054325955734408</v>
          </cell>
          <cell r="L53">
            <v>0.67987567987567987</v>
          </cell>
          <cell r="M53">
            <v>0.78639397258499411</v>
          </cell>
          <cell r="N53">
            <v>0.56705876644436826</v>
          </cell>
          <cell r="P53">
            <v>1.0520228790705626</v>
          </cell>
          <cell r="Q53">
            <v>1.1565593538408003</v>
          </cell>
        </row>
        <row r="54">
          <cell r="D54">
            <v>220</v>
          </cell>
          <cell r="F54">
            <v>1.8953722334004024</v>
          </cell>
          <cell r="L54">
            <v>0.71225071225071224</v>
          </cell>
          <cell r="M54">
            <v>0.78224194527461921</v>
          </cell>
          <cell r="N54">
            <v>0.58204618695383759</v>
          </cell>
          <cell r="P54">
            <v>1.0508762100108273</v>
          </cell>
          <cell r="Q54">
            <v>1.1461770517856025</v>
          </cell>
        </row>
        <row r="55">
          <cell r="D55">
            <v>230</v>
          </cell>
          <cell r="F55">
            <v>1.8551307847082494</v>
          </cell>
          <cell r="L55">
            <v>0.7446257446257446</v>
          </cell>
          <cell r="M55">
            <v>0.76563383603311985</v>
          </cell>
          <cell r="N55">
            <v>0.59577192583645755</v>
          </cell>
          <cell r="P55">
            <v>1.0408681410874963</v>
          </cell>
          <cell r="Q55">
            <v>1.1320151623648924</v>
          </cell>
        </row>
        <row r="56">
          <cell r="D56">
            <v>240</v>
          </cell>
          <cell r="F56">
            <v>1.7344064386317908</v>
          </cell>
          <cell r="L56">
            <v>0.77700077700077697</v>
          </cell>
          <cell r="M56">
            <v>0.71580950830862189</v>
          </cell>
          <cell r="N56">
            <v>0.60812915732496542</v>
          </cell>
          <cell r="P56">
            <v>1.0234617695656185</v>
          </cell>
          <cell r="Q56">
            <v>1.1145404215489665</v>
          </cell>
        </row>
        <row r="57">
          <cell r="D57">
            <v>255</v>
          </cell>
          <cell r="F57">
            <v>1.6338028169014085</v>
          </cell>
          <cell r="L57">
            <v>0.82556332556332557</v>
          </cell>
          <cell r="M57">
            <v>0.67428923520487349</v>
          </cell>
          <cell r="N57">
            <v>0.62388820711240978</v>
          </cell>
          <cell r="P57">
            <v>0.98641731464658899</v>
          </cell>
          <cell r="Q57">
            <v>1.0830679354100872</v>
          </cell>
        </row>
        <row r="58">
          <cell r="D58">
            <v>270</v>
          </cell>
          <cell r="F58">
            <v>1.5432595573440644</v>
          </cell>
          <cell r="L58">
            <v>0.87412587412587417</v>
          </cell>
          <cell r="M58">
            <v>0.63692098941149999</v>
          </cell>
          <cell r="N58">
            <v>0.63606637938386767</v>
          </cell>
          <cell r="P58">
            <v>0.93978936178581229</v>
          </cell>
          <cell r="Q58">
            <v>1.0464772240419546</v>
          </cell>
        </row>
        <row r="59">
          <cell r="D59">
            <v>285</v>
          </cell>
          <cell r="F59">
            <v>1.4627766599597585</v>
          </cell>
          <cell r="L59">
            <v>0.92268842268842266</v>
          </cell>
          <cell r="M59">
            <v>0.60370477092850117</v>
          </cell>
          <cell r="N59">
            <v>0.64444048940426268</v>
          </cell>
          <cell r="P59">
            <v>0.88692291920584865</v>
          </cell>
          <cell r="Q59">
            <v>1.0059745933222237</v>
          </cell>
        </row>
        <row r="60">
          <cell r="D60">
            <v>300</v>
          </cell>
          <cell r="F60">
            <v>1.3722334004024144</v>
          </cell>
          <cell r="L60">
            <v>0.97125097125097126</v>
          </cell>
          <cell r="M60">
            <v>0.56633652513512767</v>
          </cell>
          <cell r="N60">
            <v>0.64885538160285949</v>
          </cell>
          <cell r="P60">
            <v>0.83049935347950932</v>
          </cell>
          <cell r="Q60">
            <v>0.96262009000194948</v>
          </cell>
        </row>
        <row r="61">
          <cell r="D61">
            <v>315</v>
          </cell>
          <cell r="F61">
            <v>1.3118712273641853</v>
          </cell>
          <cell r="L61">
            <v>1.0198135198135199</v>
          </cell>
          <cell r="M61">
            <v>0.54142436127287874</v>
          </cell>
          <cell r="N61">
            <v>0.64922871075528521</v>
          </cell>
          <cell r="P61">
            <v>0.77260678847799424</v>
          </cell>
          <cell r="Q61">
            <v>0.91733446157708465</v>
          </cell>
        </row>
        <row r="62">
          <cell r="D62">
            <v>330</v>
          </cell>
          <cell r="F62">
            <v>1.2515090543259557</v>
          </cell>
          <cell r="L62">
            <v>1.0683760683760684</v>
          </cell>
          <cell r="M62">
            <v>0.5165121974106297</v>
          </cell>
          <cell r="N62">
            <v>0.6455534964690377</v>
          </cell>
          <cell r="P62">
            <v>0.71482644220126701</v>
          </cell>
          <cell r="Q62">
            <v>0.87090835843019854</v>
          </cell>
        </row>
        <row r="63">
          <cell r="D63">
            <v>345</v>
          </cell>
          <cell r="F63">
            <v>1.1609657947686116</v>
          </cell>
          <cell r="L63">
            <v>1.1169386169386168</v>
          </cell>
          <cell r="M63">
            <v>0.47914395161725615</v>
          </cell>
          <cell r="N63">
            <v>0.63789834026024805</v>
          </cell>
          <cell r="P63">
            <v>0.6583199259723661</v>
          </cell>
          <cell r="Q63">
            <v>0.82401280319320724</v>
          </cell>
        </row>
        <row r="64">
          <cell r="D64">
            <v>360</v>
          </cell>
          <cell r="F64">
            <v>1.1207243460764587</v>
          </cell>
          <cell r="L64">
            <v>1.1655011655011656</v>
          </cell>
          <cell r="M64">
            <v>0.46253584237575679</v>
          </cell>
          <cell r="N64">
            <v>0.62640529579037318</v>
          </cell>
          <cell r="P64">
            <v>0.60390983471956972</v>
          </cell>
          <cell r="Q64">
            <v>0.77721022524246974</v>
          </cell>
        </row>
        <row r="65">
          <cell r="D65">
            <v>380</v>
          </cell>
          <cell r="F65">
            <v>0.98993963782696159</v>
          </cell>
          <cell r="L65">
            <v>1.2302512302512303</v>
          </cell>
          <cell r="M65">
            <v>0.40855948734088388</v>
          </cell>
          <cell r="N65">
            <v>0.60548525844504597</v>
          </cell>
          <cell r="P65">
            <v>0.53555085221698462</v>
          </cell>
          <cell r="Q65">
            <v>0.71574233132666709</v>
          </cell>
        </row>
        <row r="66">
          <cell r="D66">
            <v>400</v>
          </cell>
          <cell r="F66">
            <v>0.96981891348088545</v>
          </cell>
          <cell r="L66">
            <v>1.295001295001295</v>
          </cell>
          <cell r="M66">
            <v>0.40025543272013431</v>
          </cell>
          <cell r="N66">
            <v>0.57879470884246875</v>
          </cell>
          <cell r="P66">
            <v>0.47263909390223724</v>
          </cell>
          <cell r="Q66">
            <v>0.65612347813300176</v>
          </cell>
        </row>
        <row r="67">
          <cell r="D67">
            <v>420</v>
          </cell>
          <cell r="F67">
            <v>0.91951710261569419</v>
          </cell>
          <cell r="L67">
            <v>1.3597513597513597</v>
          </cell>
          <cell r="M67">
            <v>0.37949529616826005</v>
          </cell>
          <cell r="N67">
            <v>0.54716505811436378</v>
          </cell>
          <cell r="P67">
            <v>0.41547086893476626</v>
          </cell>
          <cell r="Q67">
            <v>0.59898966937462383</v>
          </cell>
        </row>
        <row r="68">
          <cell r="D68">
            <v>440</v>
          </cell>
          <cell r="F68">
            <v>0.68812877263581473</v>
          </cell>
          <cell r="L68">
            <v>1.4245014245014245</v>
          </cell>
          <cell r="M68">
            <v>0.28399866802963875</v>
          </cell>
          <cell r="N68">
            <v>0.51154634262982579</v>
          </cell>
          <cell r="P68">
            <v>0.36403101298923923</v>
          </cell>
          <cell r="Q68">
            <v>0.54478488300368422</v>
          </cell>
        </row>
        <row r="69">
          <cell r="D69">
            <v>460</v>
          </cell>
          <cell r="F69">
            <v>0.71830985915492951</v>
          </cell>
          <cell r="L69">
            <v>1.4892514892514892</v>
          </cell>
          <cell r="M69">
            <v>0.29645474996076332</v>
          </cell>
          <cell r="N69">
            <v>0.47296002718910629</v>
          </cell>
          <cell r="P69">
            <v>0.31810372380822227</v>
          </cell>
          <cell r="Q69">
            <v>0.49379594029431773</v>
          </cell>
        </row>
        <row r="70">
          <cell r="D70">
            <v>480</v>
          </cell>
          <cell r="F70">
            <v>0.72837022132796769</v>
          </cell>
          <cell r="L70">
            <v>1.5540015540015539</v>
          </cell>
          <cell r="M70">
            <v>0.3006067772711381</v>
          </cell>
          <cell r="N70">
            <v>0.43245081084845649</v>
          </cell>
          <cell r="P70">
            <v>0.2773520056984432</v>
          </cell>
          <cell r="Q70">
            <v>0.44618300819786921</v>
          </cell>
        </row>
        <row r="71">
          <cell r="D71">
            <v>510</v>
          </cell>
          <cell r="F71">
            <v>0.60764587525150904</v>
          </cell>
          <cell r="L71">
            <v>1.6511266511266511</v>
          </cell>
          <cell r="M71">
            <v>0.25078244954664014</v>
          </cell>
          <cell r="N71">
            <v>0.37030039923583902</v>
          </cell>
          <cell r="P71">
            <v>0.22504008043334639</v>
          </cell>
          <cell r="Q71">
            <v>0.38120255265971126</v>
          </cell>
        </row>
        <row r="72">
          <cell r="D72">
            <v>540</v>
          </cell>
          <cell r="F72">
            <v>0.50704225352112675</v>
          </cell>
          <cell r="L72">
            <v>1.7482517482517483</v>
          </cell>
          <cell r="M72">
            <v>0.20926217644289177</v>
          </cell>
          <cell r="N72">
            <v>0.30925056454478461</v>
          </cell>
          <cell r="P72">
            <v>0.18201527740479748</v>
          </cell>
          <cell r="Q72">
            <v>0.32382679415302384</v>
          </cell>
        </row>
        <row r="73">
          <cell r="D73">
            <v>570</v>
          </cell>
          <cell r="F73">
            <v>0.4164989939637827</v>
          </cell>
          <cell r="L73">
            <v>1.8453768453768453</v>
          </cell>
          <cell r="M73">
            <v>0.17189393064951825</v>
          </cell>
          <cell r="N73">
            <v>0.25188695610443862</v>
          </cell>
          <cell r="P73">
            <v>0.14686064560629303</v>
          </cell>
          <cell r="Q73">
            <v>0.27368620677955452</v>
          </cell>
        </row>
        <row r="74">
          <cell r="D74">
            <v>600</v>
          </cell>
          <cell r="F74">
            <v>0.3762575452716298</v>
          </cell>
          <cell r="L74">
            <v>1.9425019425019425</v>
          </cell>
          <cell r="M74">
            <v>0.15528582140801889</v>
          </cell>
          <cell r="N74">
            <v>0.20009660113205105</v>
          </cell>
          <cell r="P74">
            <v>0.11827843892571518</v>
          </cell>
          <cell r="Q74">
            <v>0.23025216234723248</v>
          </cell>
        </row>
        <row r="75">
          <cell r="D75">
            <v>630</v>
          </cell>
          <cell r="F75">
            <v>0.40643863179074446</v>
          </cell>
          <cell r="L75">
            <v>2.0396270396270397</v>
          </cell>
          <cell r="M75">
            <v>0.16774190333914341</v>
          </cell>
          <cell r="N75">
            <v>0.1550288771341872</v>
          </cell>
          <cell r="P75">
            <v>9.5127034147783673E-2</v>
          </cell>
          <cell r="Q75">
            <v>0.19291207101156574</v>
          </cell>
        </row>
        <row r="76">
          <cell r="D76">
            <v>660</v>
          </cell>
          <cell r="F76">
            <v>0.33601609657947684</v>
          </cell>
          <cell r="L76">
            <v>2.1367521367521367</v>
          </cell>
          <cell r="M76">
            <v>0.13867771216651953</v>
          </cell>
          <cell r="N76">
            <v>0.11714515936880934</v>
          </cell>
          <cell r="P76">
            <v>7.6428123762542877E-2</v>
          </cell>
          <cell r="Q76">
            <v>0.16102268026728708</v>
          </cell>
        </row>
        <row r="77">
          <cell r="D77">
            <v>720</v>
          </cell>
          <cell r="F77">
            <v>0.20523138832997989</v>
          </cell>
          <cell r="L77">
            <v>2.3310023310023311</v>
          </cell>
          <cell r="M77">
            <v>8.4701357131646671E-2</v>
          </cell>
          <cell r="N77">
            <v>6.2053232320065044E-2</v>
          </cell>
          <cell r="P77">
            <v>4.923330571332276E-2</v>
          </cell>
          <cell r="Q77">
            <v>0.11107565804067181</v>
          </cell>
        </row>
        <row r="78">
          <cell r="D78">
            <v>780</v>
          </cell>
          <cell r="F78">
            <v>0.13480885311871227</v>
          </cell>
          <cell r="L78">
            <v>2.5252525252525251</v>
          </cell>
          <cell r="M78">
            <v>5.5637165959022808E-2</v>
          </cell>
          <cell r="N78">
            <v>2.9741296380810803E-2</v>
          </cell>
          <cell r="P78">
            <v>3.1667494730086912E-2</v>
          </cell>
          <cell r="Q78">
            <v>7.5744857648870206E-2</v>
          </cell>
        </row>
        <row r="79">
          <cell r="D79">
            <v>840</v>
          </cell>
          <cell r="F79">
            <v>8.4507042253521125E-2</v>
          </cell>
          <cell r="L79">
            <v>2.7195027195027195</v>
          </cell>
          <cell r="M79">
            <v>3.4877029407148624E-2</v>
          </cell>
          <cell r="N79">
            <v>1.2897656502633323E-2</v>
          </cell>
          <cell r="P79">
            <v>2.0358983415052306E-2</v>
          </cell>
          <cell r="Q79">
            <v>5.1148313012120881E-2</v>
          </cell>
        </row>
        <row r="80">
          <cell r="D80">
            <v>900</v>
          </cell>
          <cell r="F80">
            <v>5.4325955734406441E-2</v>
          </cell>
          <cell r="L80">
            <v>2.9137529137529139</v>
          </cell>
          <cell r="M80">
            <v>2.242094747602412E-2</v>
          </cell>
          <cell r="N80">
            <v>5.0607763278354241E-3</v>
          </cell>
          <cell r="P80">
            <v>1.3090851310595675E-2</v>
          </cell>
          <cell r="Q80">
            <v>3.4248470245109949E-2</v>
          </cell>
        </row>
      </sheetData>
      <sheetData sheetId="7"/>
      <sheetData sheetId="8">
        <row r="32">
          <cell r="E32">
            <v>0</v>
          </cell>
        </row>
        <row r="33">
          <cell r="E33">
            <v>0</v>
          </cell>
        </row>
        <row r="34">
          <cell r="E34">
            <v>9.8745614035087734E-2</v>
          </cell>
        </row>
        <row r="35">
          <cell r="E35">
            <v>0.91014912280701743</v>
          </cell>
        </row>
        <row r="36">
          <cell r="E36">
            <v>1.5022543859649122</v>
          </cell>
        </row>
        <row r="37">
          <cell r="E37">
            <v>2.4452368421052633</v>
          </cell>
        </row>
        <row r="38">
          <cell r="E38">
            <v>1.0964912280701782E-3</v>
          </cell>
        </row>
        <row r="39">
          <cell r="E39">
            <v>2.7851491228070175</v>
          </cell>
        </row>
        <row r="40">
          <cell r="E40">
            <v>2.7412894736842102</v>
          </cell>
        </row>
        <row r="41">
          <cell r="E41">
            <v>2.8619035087719298</v>
          </cell>
        </row>
        <row r="42">
          <cell r="E42">
            <v>2.8728684210526314</v>
          </cell>
        </row>
        <row r="43">
          <cell r="E43">
            <v>2.9167280701754383</v>
          </cell>
        </row>
        <row r="44">
          <cell r="E44">
            <v>3.1031315789473677</v>
          </cell>
        </row>
        <row r="45">
          <cell r="E45">
            <v>3.4211140350877192</v>
          </cell>
        </row>
        <row r="46">
          <cell r="E46">
            <v>3.3114649122807016</v>
          </cell>
        </row>
        <row r="47">
          <cell r="E47">
            <v>3.2237456140350873</v>
          </cell>
        </row>
        <row r="48">
          <cell r="E48">
            <v>3.2785701754385963</v>
          </cell>
        </row>
        <row r="49">
          <cell r="E49">
            <v>3.1689210526315783</v>
          </cell>
        </row>
        <row r="50">
          <cell r="E50">
            <v>3.190850877192982</v>
          </cell>
        </row>
        <row r="51">
          <cell r="E51">
            <v>2.9057631578947367</v>
          </cell>
        </row>
        <row r="52">
          <cell r="E52">
            <v>2.6864649122807016</v>
          </cell>
        </row>
        <row r="53">
          <cell r="E53">
            <v>2.6535701754385963</v>
          </cell>
        </row>
        <row r="54">
          <cell r="E54">
            <v>2.5768157894736841</v>
          </cell>
        </row>
        <row r="55">
          <cell r="E55">
            <v>2.313657894736842</v>
          </cell>
        </row>
        <row r="56">
          <cell r="E56">
            <v>2.2697982456140351</v>
          </cell>
        </row>
        <row r="57">
          <cell r="E57">
            <v>2.2478684210526314</v>
          </cell>
        </row>
        <row r="58">
          <cell r="E58">
            <v>2.2040087719298245</v>
          </cell>
        </row>
        <row r="59">
          <cell r="E59">
            <v>2.1711140350877192</v>
          </cell>
        </row>
        <row r="60">
          <cell r="E60">
            <v>1.8640964912280702</v>
          </cell>
        </row>
        <row r="61">
          <cell r="E61">
            <v>1.9298859649122806</v>
          </cell>
        </row>
        <row r="62">
          <cell r="E62">
            <v>2.0505</v>
          </cell>
        </row>
        <row r="63">
          <cell r="E63">
            <v>1.8421666666666665</v>
          </cell>
        </row>
        <row r="64">
          <cell r="E64">
            <v>1.8092719298245612</v>
          </cell>
        </row>
        <row r="65">
          <cell r="E65">
            <v>1.6228684210526316</v>
          </cell>
        </row>
        <row r="66">
          <cell r="E66">
            <v>1.3487456140350877</v>
          </cell>
        </row>
        <row r="67">
          <cell r="E67">
            <v>1.4912894736842104</v>
          </cell>
        </row>
        <row r="68">
          <cell r="E68">
            <v>1.2610263157894737</v>
          </cell>
        </row>
        <row r="69">
          <cell r="E69">
            <v>1.0197982456140351</v>
          </cell>
        </row>
        <row r="70">
          <cell r="E70">
            <v>0.94304385964912274</v>
          </cell>
        </row>
        <row r="71">
          <cell r="E71">
            <v>0.86628947368421039</v>
          </cell>
        </row>
        <row r="72">
          <cell r="E72">
            <v>0.81146491228070172</v>
          </cell>
        </row>
        <row r="73">
          <cell r="E73">
            <v>0.77857017543859641</v>
          </cell>
        </row>
        <row r="74">
          <cell r="E74">
            <v>0.63602631578947366</v>
          </cell>
        </row>
        <row r="75">
          <cell r="E75">
            <v>0.57023684210526304</v>
          </cell>
        </row>
        <row r="76">
          <cell r="E76">
            <v>0.55927192982456142</v>
          </cell>
        </row>
        <row r="77">
          <cell r="E77">
            <v>0.65795614035087713</v>
          </cell>
        </row>
        <row r="78">
          <cell r="E78">
            <v>0.61409649122807008</v>
          </cell>
        </row>
        <row r="79">
          <cell r="E79">
            <v>0.62506140350877193</v>
          </cell>
        </row>
        <row r="80">
          <cell r="E80">
            <v>0.39479824561403498</v>
          </cell>
        </row>
        <row r="81">
          <cell r="E81">
            <v>0.32900877192982453</v>
          </cell>
        </row>
        <row r="82">
          <cell r="E82">
            <v>0.26321929824561402</v>
          </cell>
        </row>
        <row r="83">
          <cell r="E83">
            <v>0.20839473684210524</v>
          </cell>
        </row>
        <row r="84">
          <cell r="E84">
            <v>0.13164035087719297</v>
          </cell>
        </row>
        <row r="85">
          <cell r="E85">
            <v>0.12067543859649123</v>
          </cell>
        </row>
        <row r="86">
          <cell r="E86">
            <v>9.8745614035087734E-2</v>
          </cell>
        </row>
        <row r="87">
          <cell r="E87">
            <v>6.5850877192982452E-2</v>
          </cell>
        </row>
        <row r="88">
          <cell r="E88">
            <v>4.3921052631578944E-2</v>
          </cell>
        </row>
        <row r="89">
          <cell r="E89">
            <v>4.3921052631578944E-2</v>
          </cell>
        </row>
        <row r="90">
          <cell r="E90">
            <v>3.2956140350877197E-2</v>
          </cell>
        </row>
        <row r="91">
          <cell r="E91">
            <v>2.1991228070175433E-2</v>
          </cell>
        </row>
        <row r="92">
          <cell r="E92">
            <v>1.1026315789473686E-2</v>
          </cell>
        </row>
        <row r="93">
          <cell r="E93">
            <v>1.1026315789473686E-2</v>
          </cell>
        </row>
        <row r="94">
          <cell r="E94">
            <v>1.1026315789473686E-2</v>
          </cell>
        </row>
        <row r="95">
          <cell r="E95">
            <v>1.1026315789473686E-2</v>
          </cell>
        </row>
        <row r="96">
          <cell r="E96">
            <v>6.1403508771932375E-5</v>
          </cell>
        </row>
        <row r="97">
          <cell r="E97">
            <v>6.1403508771932375E-5</v>
          </cell>
        </row>
        <row r="98">
          <cell r="E98">
            <v>0</v>
          </cell>
        </row>
        <row r="99">
          <cell r="E99">
            <v>0</v>
          </cell>
        </row>
        <row r="100">
          <cell r="E100">
            <v>0</v>
          </cell>
        </row>
        <row r="101">
          <cell r="E101">
            <v>0</v>
          </cell>
        </row>
        <row r="102">
          <cell r="E102">
            <v>0</v>
          </cell>
        </row>
      </sheetData>
      <sheetData sheetId="9">
        <row r="12">
          <cell r="D12">
            <v>0</v>
          </cell>
          <cell r="L12">
            <v>0</v>
          </cell>
          <cell r="M12">
            <v>0</v>
          </cell>
          <cell r="N12">
            <v>0.22993949272398209</v>
          </cell>
          <cell r="O12">
            <v>0.23561136557007631</v>
          </cell>
          <cell r="Q12">
            <v>0</v>
          </cell>
          <cell r="AA12">
            <v>1</v>
          </cell>
        </row>
        <row r="13">
          <cell r="D13">
            <v>5</v>
          </cell>
          <cell r="L13">
            <v>1.7507002801120452E-2</v>
          </cell>
          <cell r="M13">
            <v>0</v>
          </cell>
          <cell r="N13">
            <v>0.23609395251564258</v>
          </cell>
          <cell r="O13">
            <v>0.23852452754962455</v>
          </cell>
          <cell r="P13">
            <v>6.043724453004786E-32</v>
          </cell>
          <cell r="Q13">
            <v>0.22336730220434281</v>
          </cell>
          <cell r="AA13">
            <v>1</v>
          </cell>
        </row>
        <row r="14">
          <cell r="D14">
            <v>10</v>
          </cell>
          <cell r="L14">
            <v>3.5014005602240904E-2</v>
          </cell>
          <cell r="M14">
            <v>2.3634661090255561E-2</v>
          </cell>
          <cell r="N14">
            <v>0.24230007881313956</v>
          </cell>
          <cell r="O14">
            <v>0.24142130637115911</v>
          </cell>
          <cell r="P14">
            <v>1.4118085568974917E-15</v>
          </cell>
          <cell r="Q14">
            <v>0.3123094994589376</v>
          </cell>
          <cell r="AA14">
            <v>0.99959975025724501</v>
          </cell>
        </row>
        <row r="15">
          <cell r="D15">
            <v>15</v>
          </cell>
          <cell r="L15">
            <v>5.2521008403361352E-2</v>
          </cell>
          <cell r="M15">
            <v>0.2178432558178596</v>
          </cell>
          <cell r="N15">
            <v>0.24855336461670088</v>
          </cell>
          <cell r="O15">
            <v>0.24430023817229746</v>
          </cell>
          <cell r="P15">
            <v>3.6416994861441321E-10</v>
          </cell>
          <cell r="Q15">
            <v>0.37577922738439562</v>
          </cell>
          <cell r="AA15">
            <v>0.99591060460928982</v>
          </cell>
        </row>
        <row r="16">
          <cell r="D16">
            <v>20</v>
          </cell>
          <cell r="L16">
            <v>7.0028011204481808E-2</v>
          </cell>
          <cell r="M16">
            <v>0.35956304115962479</v>
          </cell>
          <cell r="N16">
            <v>0.25484911870681493</v>
          </cell>
          <cell r="O16">
            <v>0.2471598531629281</v>
          </cell>
          <cell r="P16">
            <v>1.7520867458404608E-7</v>
          </cell>
          <cell r="Q16">
            <v>0.42518577594589679</v>
          </cell>
          <cell r="AA16">
            <v>0.98982145384132381</v>
          </cell>
        </row>
        <row r="17">
          <cell r="D17">
            <v>25</v>
          </cell>
          <cell r="L17">
            <v>8.7535014005602249E-2</v>
          </cell>
          <cell r="M17">
            <v>0.58526492151873222</v>
          </cell>
          <cell r="N17">
            <v>0.26118246975394283</v>
          </cell>
          <cell r="O17">
            <v>0.24999867683788846</v>
          </cell>
          <cell r="P17">
            <v>6.8846242583697797E-6</v>
          </cell>
          <cell r="Q17">
            <v>0.46515071381796991</v>
          </cell>
          <cell r="AA17">
            <v>0.979910072697044</v>
          </cell>
        </row>
        <row r="18">
          <cell r="D18">
            <v>30</v>
          </cell>
          <cell r="L18">
            <v>0.1050420168067227</v>
          </cell>
          <cell r="M18">
            <v>2.6244404692919536E-4</v>
          </cell>
          <cell r="N18">
            <v>0.26754837095856898</v>
          </cell>
          <cell r="O18">
            <v>0.25281523120911442</v>
          </cell>
          <cell r="P18">
            <v>7.7642346725293089E-5</v>
          </cell>
          <cell r="Q18">
            <v>0.49814323850800779</v>
          </cell>
          <cell r="AA18">
            <v>0.979905628243118</v>
          </cell>
        </row>
        <row r="19">
          <cell r="D19">
            <v>35</v>
          </cell>
          <cell r="L19">
            <v>0.12254901960784315</v>
          </cell>
          <cell r="M19">
            <v>0.66662257606678255</v>
          </cell>
          <cell r="N19">
            <v>0.27394160522187416</v>
          </cell>
          <cell r="O19">
            <v>0.25560803605587717</v>
          </cell>
          <cell r="P19">
            <v>4.3012426434245915E-4</v>
          </cell>
          <cell r="Q19">
            <v>0.52568840948104634</v>
          </cell>
          <cell r="AA19">
            <v>0.96861646638179499</v>
          </cell>
        </row>
        <row r="20">
          <cell r="D20">
            <v>40</v>
          </cell>
          <cell r="L20">
            <v>0.14005602240896362</v>
          </cell>
          <cell r="M20">
            <v>0.65612481418961466</v>
          </cell>
          <cell r="N20">
            <v>0.28035679084557186</v>
          </cell>
          <cell r="O20">
            <v>0.25837561019167737</v>
          </cell>
          <cell r="P20">
            <v>1.5303523517914044E-3</v>
          </cell>
          <cell r="Q20">
            <v>0.5488177331535028</v>
          </cell>
          <cell r="AA20">
            <v>0.95750508267750967</v>
          </cell>
        </row>
        <row r="21">
          <cell r="D21">
            <v>45</v>
          </cell>
          <cell r="L21">
            <v>0.15756302521008406</v>
          </cell>
          <cell r="M21">
            <v>0.68499365935182621</v>
          </cell>
          <cell r="N21">
            <v>0.28678838775766086</v>
          </cell>
          <cell r="O21">
            <v>0.26111647274632588</v>
          </cell>
          <cell r="P21">
            <v>4.0571882688904591E-3</v>
          </cell>
          <cell r="Q21">
            <v>0.56827387387947648</v>
          </cell>
          <cell r="AA21">
            <v>0.94590480904137042</v>
          </cell>
        </row>
        <row r="22">
          <cell r="D22">
            <v>50</v>
          </cell>
          <cell r="L22">
            <v>0.1750700280112045</v>
          </cell>
          <cell r="M22">
            <v>0.6876180998211181</v>
          </cell>
          <cell r="N22">
            <v>0.29323070425903525</v>
          </cell>
          <cell r="O22">
            <v>0.26382914446170019</v>
          </cell>
          <cell r="P22">
            <v>8.7604813136705553E-3</v>
          </cell>
          <cell r="Q22">
            <v>0.58461645851604116</v>
          </cell>
          <cell r="AA22">
            <v>0.93426009086597162</v>
          </cell>
        </row>
        <row r="23">
          <cell r="D23">
            <v>55</v>
          </cell>
          <cell r="L23">
            <v>0.19257703081232494</v>
          </cell>
          <cell r="M23">
            <v>0.69811586169828588</v>
          </cell>
          <cell r="N23">
            <v>0.29967790428405089</v>
          </cell>
          <cell r="O23">
            <v>0.26651214899962938</v>
          </cell>
          <cell r="P23">
            <v>1.6301548495066105E-2</v>
          </cell>
          <cell r="Q23">
            <v>0.59828202790338592</v>
          </cell>
          <cell r="AA23">
            <v>0.92243759453353502</v>
          </cell>
        </row>
        <row r="24">
          <cell r="D24">
            <v>60</v>
          </cell>
          <cell r="L24">
            <v>0.21008403361344541</v>
          </cell>
          <cell r="M24">
            <v>0.74273134967624888</v>
          </cell>
          <cell r="N24">
            <v>0.30612401516629179</v>
          </cell>
          <cell r="O24">
            <v>0.26916401426032333</v>
          </cell>
          <cell r="P24">
            <v>2.7142108216909631E-2</v>
          </cell>
          <cell r="Q24">
            <v>0.60962044479913102</v>
          </cell>
          <cell r="AA24">
            <v>0.90985954103368749</v>
          </cell>
        </row>
        <row r="25">
          <cell r="D25">
            <v>70</v>
          </cell>
          <cell r="L25">
            <v>0.24509803921568629</v>
          </cell>
          <cell r="M25">
            <v>0.81884012328571543</v>
          </cell>
          <cell r="N25">
            <v>0.31898844587707581</v>
          </cell>
          <cell r="O25">
            <v>0.27436846771418161</v>
          </cell>
          <cell r="P25">
            <v>5.9354854042664613E-2</v>
          </cell>
          <cell r="Q25">
            <v>0.6264142416997609</v>
          </cell>
          <cell r="AA25">
            <v>0.88212565075694382</v>
          </cell>
        </row>
        <row r="26">
          <cell r="D26">
            <v>80</v>
          </cell>
          <cell r="L26">
            <v>0.28011204481792723</v>
          </cell>
          <cell r="M26">
            <v>0.79259571859279598</v>
          </cell>
          <cell r="N26">
            <v>0.3317738088731802</v>
          </cell>
          <cell r="O26">
            <v>0.27943086340084777</v>
          </cell>
          <cell r="P26">
            <v>0.10455834903601208</v>
          </cell>
          <cell r="Q26">
            <v>0.63677982401389222</v>
          </cell>
          <cell r="AA26">
            <v>0.85528065126538944</v>
          </cell>
        </row>
        <row r="27">
          <cell r="D27">
            <v>90</v>
          </cell>
          <cell r="L27">
            <v>0.31512605042016811</v>
          </cell>
          <cell r="M27">
            <v>0.77160019483846032</v>
          </cell>
          <cell r="N27">
            <v>0.34442830848445904</v>
          </cell>
          <cell r="O27">
            <v>0.28433971327206375</v>
          </cell>
          <cell r="P27">
            <v>0.15962068337137703</v>
          </cell>
          <cell r="Q27">
            <v>0.64201738240395356</v>
          </cell>
          <cell r="AA27">
            <v>0.82914676440198631</v>
          </cell>
        </row>
        <row r="28">
          <cell r="D28">
            <v>100</v>
          </cell>
          <cell r="L28">
            <v>0.350140056022409</v>
          </cell>
          <cell r="M28">
            <v>0.7847223971849201</v>
          </cell>
          <cell r="N28">
            <v>0.35689887022316269</v>
          </cell>
          <cell r="O28">
            <v>0.28908372571615643</v>
          </cell>
          <cell r="P28">
            <v>0.22059868168551555</v>
          </cell>
          <cell r="Q28">
            <v>0.64311416007635636</v>
          </cell>
          <cell r="AA28">
            <v>0.80256843214598861</v>
          </cell>
        </row>
        <row r="29">
          <cell r="D29">
            <v>110</v>
          </cell>
          <cell r="L29">
            <v>0.38515406162464988</v>
          </cell>
          <cell r="M29">
            <v>0.75847799249200054</v>
          </cell>
          <cell r="N29">
            <v>0.36913149513108745</v>
          </cell>
          <cell r="O29">
            <v>0.29365184853604898</v>
          </cell>
          <cell r="P29">
            <v>0.28373107539493797</v>
          </cell>
          <cell r="Q29">
            <v>0.64084194361844127</v>
          </cell>
          <cell r="AA29">
            <v>0.77687899067518007</v>
          </cell>
        </row>
        <row r="30">
          <cell r="D30">
            <v>120</v>
          </cell>
          <cell r="L30">
            <v>0.42016806722689082</v>
          </cell>
          <cell r="M30">
            <v>0.76372687343058454</v>
          </cell>
          <cell r="N30">
            <v>0.38107163605838318</v>
          </cell>
          <cell r="O30">
            <v>0.29803331161577623</v>
          </cell>
          <cell r="P30">
            <v>0.3459145572229263</v>
          </cell>
          <cell r="Q30">
            <v>0.63581743545330116</v>
          </cell>
          <cell r="AA30">
            <v>0.75101177104733385</v>
          </cell>
        </row>
        <row r="31">
          <cell r="D31">
            <v>135</v>
          </cell>
          <cell r="L31">
            <v>0.47268907563025214</v>
          </cell>
          <cell r="M31">
            <v>0.69549142122899399</v>
          </cell>
          <cell r="N31">
            <v>0.39831384091761401</v>
          </cell>
          <cell r="O31">
            <v>0.30423276764408613</v>
          </cell>
          <cell r="P31">
            <v>0.43255705766192187</v>
          </cell>
          <cell r="Q31">
            <v>0.62419151776952075</v>
          </cell>
          <cell r="AA31">
            <v>0.71567761566780241</v>
          </cell>
        </row>
        <row r="32">
          <cell r="D32">
            <v>150</v>
          </cell>
          <cell r="L32">
            <v>0.52521008403361347</v>
          </cell>
          <cell r="M32">
            <v>0.64300261184315499</v>
          </cell>
          <cell r="N32">
            <v>0.41459184774509866</v>
          </cell>
          <cell r="O32">
            <v>0.30995515149710801</v>
          </cell>
          <cell r="P32">
            <v>0.50723125151647575</v>
          </cell>
          <cell r="Q32">
            <v>0.60881744152829398</v>
          </cell>
          <cell r="AA32">
            <v>0.68301013264383859</v>
          </cell>
        </row>
        <row r="33">
          <cell r="D33">
            <v>165</v>
          </cell>
          <cell r="L33">
            <v>0.57773109243697485</v>
          </cell>
          <cell r="M33">
            <v>0.63512929043527921</v>
          </cell>
          <cell r="N33">
            <v>0.42972706324304288</v>
          </cell>
          <cell r="O33">
            <v>0.31516894648398602</v>
          </cell>
          <cell r="P33">
            <v>0.56792314517675946</v>
          </cell>
          <cell r="Q33">
            <v>0.5907148385230736</v>
          </cell>
          <cell r="AA33">
            <v>0.65074265047320989</v>
          </cell>
        </row>
        <row r="34">
          <cell r="D34">
            <v>180</v>
          </cell>
          <cell r="L34">
            <v>0.63025210084033623</v>
          </cell>
          <cell r="M34">
            <v>0.61675820715023555</v>
          </cell>
          <cell r="N34">
            <v>0.44354862745095253</v>
          </cell>
          <cell r="O34">
            <v>0.31984507804895251</v>
          </cell>
          <cell r="P34">
            <v>0.61443948459046094</v>
          </cell>
          <cell r="Q34">
            <v>0.57067299550820783</v>
          </cell>
          <cell r="AA34">
            <v>0.61940850362703004</v>
          </cell>
        </row>
        <row r="35">
          <cell r="D35">
            <v>195</v>
          </cell>
          <cell r="L35">
            <v>0.68277310924369761</v>
          </cell>
          <cell r="M35">
            <v>0.55377163588722889</v>
          </cell>
          <cell r="N35">
            <v>0.4558966079373365</v>
          </cell>
          <cell r="O35">
            <v>0.32395718355846753</v>
          </cell>
          <cell r="P35">
            <v>0.64764758969458003</v>
          </cell>
          <cell r="Q35">
            <v>0.54930930329762073</v>
          </cell>
          <cell r="AA35">
            <v>0.59127436360753127</v>
          </cell>
        </row>
        <row r="36">
          <cell r="D36">
            <v>210</v>
          </cell>
          <cell r="L36">
            <v>0.73529411764705888</v>
          </cell>
          <cell r="M36">
            <v>0.54327387401006111</v>
          </cell>
          <cell r="N36">
            <v>0.46662507104837003</v>
          </cell>
          <cell r="O36">
            <v>0.32748185970797927</v>
          </cell>
          <cell r="P36">
            <v>0.66895370833144474</v>
          </cell>
          <cell r="Q36">
            <v>0.52710989885206461</v>
          </cell>
          <cell r="AA36">
            <v>0.5636735580591461</v>
          </cell>
        </row>
        <row r="37">
          <cell r="D37">
            <v>225</v>
          </cell>
          <cell r="L37">
            <v>0.78781512605042026</v>
          </cell>
          <cell r="M37">
            <v>0.53802499307147711</v>
          </cell>
          <cell r="N37">
            <v>0.475604948019892</v>
          </cell>
          <cell r="O37">
            <v>0.33039888430174624</v>
          </cell>
          <cell r="P37">
            <v>0.67997238905424962</v>
          </cell>
          <cell r="Q37">
            <v>0.50445889897686036</v>
          </cell>
          <cell r="AA37">
            <v>0.53633941974631782</v>
          </cell>
        </row>
        <row r="38">
          <cell r="D38">
            <v>240</v>
          </cell>
          <cell r="L38">
            <v>0.84033613445378164</v>
          </cell>
          <cell r="M38">
            <v>0.52752723119430933</v>
          </cell>
          <cell r="N38">
            <v>0.48272661738623918</v>
          </cell>
          <cell r="O38">
            <v>0.33269140946622178</v>
          </cell>
          <cell r="P38">
            <v>0.68233015752008253</v>
          </cell>
          <cell r="Q38">
            <v>0.48166001442078937</v>
          </cell>
          <cell r="AA38">
            <v>0.50953861590460292</v>
          </cell>
        </row>
        <row r="39">
          <cell r="D39">
            <v>255</v>
          </cell>
          <cell r="L39">
            <v>0.89285714285714302</v>
          </cell>
          <cell r="M39">
            <v>0.51965390978643355</v>
          </cell>
          <cell r="N39">
            <v>0.4879021315067894</v>
          </cell>
          <cell r="O39">
            <v>0.33434612371459721</v>
          </cell>
          <cell r="P39">
            <v>0.6775573719276361</v>
          </cell>
          <cell r="Q39">
            <v>0.45895289461830696</v>
          </cell>
          <cell r="AA39">
            <v>0.48313781291622326</v>
          </cell>
        </row>
        <row r="40">
          <cell r="D40">
            <v>270</v>
          </cell>
          <cell r="L40">
            <v>0.94537815126050428</v>
          </cell>
          <cell r="M40">
            <v>0.446169576646259</v>
          </cell>
          <cell r="N40">
            <v>0.49106702400654234</v>
          </cell>
          <cell r="O40">
            <v>0.33535338068154547</v>
          </cell>
          <cell r="P40">
            <v>0.6670353752429149</v>
          </cell>
          <cell r="Q40">
            <v>0.4365257196192871</v>
          </cell>
          <cell r="AA40">
            <v>0.46047035122563829</v>
          </cell>
        </row>
        <row r="41">
          <cell r="D41">
            <v>285</v>
          </cell>
          <cell r="L41">
            <v>0.99789915966386566</v>
          </cell>
          <cell r="M41">
            <v>0.46191621946201067</v>
          </cell>
          <cell r="N41">
            <v>0.49218164620529831</v>
          </cell>
          <cell r="O41">
            <v>0.33570729278635197</v>
          </cell>
          <cell r="P41">
            <v>0.65197696961898022</v>
          </cell>
          <cell r="Q41">
            <v>0.41452505150493701</v>
          </cell>
          <cell r="AA41">
            <v>0.43700288782838304</v>
          </cell>
        </row>
        <row r="42">
          <cell r="D42">
            <v>300</v>
          </cell>
          <cell r="L42">
            <v>1.0504201680672269</v>
          </cell>
          <cell r="M42">
            <v>0.49078506462422211</v>
          </cell>
          <cell r="N42">
            <v>0.49123199380331389</v>
          </cell>
          <cell r="O42">
            <v>0.33540578855205361</v>
          </cell>
          <cell r="P42">
            <v>0.63342608434252401</v>
          </cell>
          <cell r="Q42">
            <v>0.39306364114644066</v>
          </cell>
          <cell r="AA42">
            <v>0.41206875463556547</v>
          </cell>
        </row>
        <row r="43">
          <cell r="D43">
            <v>320</v>
          </cell>
          <cell r="L43">
            <v>1.1204481792717089</v>
          </cell>
          <cell r="M43">
            <v>0.44092069570767511</v>
          </cell>
          <cell r="N43">
            <v>0.48677903372938525</v>
          </cell>
          <cell r="O43">
            <v>0.33398784760989186</v>
          </cell>
          <cell r="P43">
            <v>0.6047675615836805</v>
          </cell>
          <cell r="Q43">
            <v>0.36543119427064991</v>
          </cell>
          <cell r="AA43">
            <v>0.38220102869552786</v>
          </cell>
        </row>
        <row r="44">
          <cell r="D44">
            <v>340</v>
          </cell>
          <cell r="L44">
            <v>1.1904761904761907</v>
          </cell>
          <cell r="M44">
            <v>0.43304737429979923</v>
          </cell>
          <cell r="N44">
            <v>0.47877940518874118</v>
          </cell>
          <cell r="O44">
            <v>0.33142302049789324</v>
          </cell>
          <cell r="P44">
            <v>0.57316501163901568</v>
          </cell>
          <cell r="Q44">
            <v>0.33904791176493465</v>
          </cell>
          <cell r="AA44">
            <v>0.35286663722660383</v>
          </cell>
        </row>
        <row r="45">
          <cell r="D45">
            <v>360</v>
          </cell>
          <cell r="L45">
            <v>1.2605042016806725</v>
          </cell>
          <cell r="M45">
            <v>0.38843188632183623</v>
          </cell>
          <cell r="N45">
            <v>0.46740939149408778</v>
          </cell>
          <cell r="O45">
            <v>0.32773782838098303</v>
          </cell>
          <cell r="P45">
            <v>0.53994246686367031</v>
          </cell>
          <cell r="Q45">
            <v>0.31400078597339065</v>
          </cell>
          <cell r="AA45">
            <v>0.32655447442732322</v>
          </cell>
        </row>
        <row r="46">
          <cell r="D46">
            <v>380</v>
          </cell>
          <cell r="L46">
            <v>1.3305322128851542</v>
          </cell>
          <cell r="M46">
            <v>0.32282087458953751</v>
          </cell>
          <cell r="N46">
            <v>0.4529161266136586</v>
          </cell>
          <cell r="O46">
            <v>0.3229701364620326</v>
          </cell>
          <cell r="P46">
            <v>0.50610841659783279</v>
          </cell>
          <cell r="Q46">
            <v>0.29033515003323646</v>
          </cell>
          <cell r="AA46">
            <v>0.30468676555398877</v>
          </cell>
        </row>
        <row r="47">
          <cell r="D47">
            <v>400</v>
          </cell>
          <cell r="L47">
            <v>1.400560224089636</v>
          </cell>
          <cell r="M47">
            <v>0.35693860069033279</v>
          </cell>
          <cell r="N47">
            <v>0.43560866659500563</v>
          </cell>
          <cell r="O47">
            <v>0.31716850632106958</v>
          </cell>
          <cell r="P47">
            <v>0.47241692214934539</v>
          </cell>
          <cell r="Q47">
            <v>0.26806471146977662</v>
          </cell>
          <cell r="AA47">
            <v>0.28050794063916229</v>
          </cell>
        </row>
        <row r="48">
          <cell r="D48">
            <v>420</v>
          </cell>
          <cell r="L48">
            <v>1.4705882352941178</v>
          </cell>
          <cell r="M48">
            <v>0.30182535083520196</v>
          </cell>
          <cell r="N48">
            <v>0.41584704098324304</v>
          </cell>
          <cell r="O48">
            <v>0.31039137261571775</v>
          </cell>
          <cell r="P48">
            <v>0.43941973885823854</v>
          </cell>
          <cell r="Q48">
            <v>0.24717936439071256</v>
          </cell>
          <cell r="AA48">
            <v>0.2600624570221306</v>
          </cell>
        </row>
        <row r="49">
          <cell r="D49">
            <v>440</v>
          </cell>
          <cell r="L49">
            <v>1.5406162464985995</v>
          </cell>
          <cell r="M49">
            <v>0.2440876605107791</v>
          </cell>
          <cell r="N49">
            <v>0.39402982547538684</v>
          </cell>
          <cell r="O49">
            <v>0.30270606365844249</v>
          </cell>
          <cell r="P49">
            <v>0.40750952885465852</v>
          </cell>
          <cell r="Q49">
            <v>0.22765129716310667</v>
          </cell>
          <cell r="AA49">
            <v>0.24352809285993127</v>
          </cell>
        </row>
        <row r="50">
          <cell r="D50">
            <v>460</v>
          </cell>
          <cell r="L50">
            <v>1.6106442577030815</v>
          </cell>
          <cell r="M50">
            <v>0.22571657722573546</v>
          </cell>
          <cell r="N50">
            <v>0.37058083361704058</v>
          </cell>
          <cell r="O50">
            <v>0.29418768881741414</v>
          </cell>
          <cell r="P50">
            <v>0.37695504075513403</v>
          </cell>
          <cell r="Q50">
            <v>0.20943977897192972</v>
          </cell>
          <cell r="AA50">
            <v>0.22823817579699723</v>
          </cell>
        </row>
        <row r="51">
          <cell r="D51">
            <v>480</v>
          </cell>
          <cell r="L51">
            <v>1.6806722689075633</v>
          </cell>
          <cell r="M51">
            <v>0.20734549394069182</v>
          </cell>
          <cell r="N51">
            <v>0.34593554511487307</v>
          </cell>
          <cell r="O51">
            <v>0.28491791842888803</v>
          </cell>
          <cell r="P51">
            <v>0.34792939618889052</v>
          </cell>
          <cell r="Q51">
            <v>0.1924949139819073</v>
          </cell>
          <cell r="AA51">
            <v>0.21419270583332806</v>
          </cell>
        </row>
        <row r="52">
          <cell r="D52">
            <v>510</v>
          </cell>
          <cell r="L52">
            <v>1.785714285714286</v>
          </cell>
          <cell r="M52">
            <v>0.1942232915942321</v>
          </cell>
          <cell r="N52">
            <v>0.30767024445886804</v>
          </cell>
          <cell r="O52">
            <v>0.269795665324915</v>
          </cell>
          <cell r="P52">
            <v>0.30746082757503845</v>
          </cell>
          <cell r="Q52">
            <v>0.16932870663474625</v>
          </cell>
          <cell r="AA52">
            <v>0.19445783706560804</v>
          </cell>
        </row>
        <row r="53">
          <cell r="D53">
            <v>540</v>
          </cell>
          <cell r="L53">
            <v>1.8907563025210086</v>
          </cell>
          <cell r="M53">
            <v>0.18634997018635624</v>
          </cell>
          <cell r="N53">
            <v>0.26908045458969326</v>
          </cell>
          <cell r="O53">
            <v>0.25348772615723342</v>
          </cell>
          <cell r="P53">
            <v>0.27076370042327969</v>
          </cell>
          <cell r="Q53">
            <v>0.14868122401752584</v>
          </cell>
          <cell r="AA53">
            <v>0.17552297000455819</v>
          </cell>
        </row>
        <row r="54">
          <cell r="D54">
            <v>570</v>
          </cell>
          <cell r="L54">
            <v>1.9957983193277313</v>
          </cell>
          <cell r="M54">
            <v>0.15223224408556096</v>
          </cell>
          <cell r="N54">
            <v>0.23141161684955788</v>
          </cell>
          <cell r="O54">
            <v>0.2363119405187375</v>
          </cell>
          <cell r="P54">
            <v>0.23777544875103468</v>
          </cell>
          <cell r="Q54">
            <v>0.13034095109152766</v>
          </cell>
          <cell r="AA54">
            <v>0.16005477700574655</v>
          </cell>
        </row>
        <row r="55">
          <cell r="D55">
            <v>600</v>
          </cell>
          <cell r="L55">
            <v>2.1008403361344539</v>
          </cell>
          <cell r="M55">
            <v>0.13648560126980924</v>
          </cell>
          <cell r="N55">
            <v>0.19570165960314409</v>
          </cell>
          <cell r="O55">
            <v>0.21858540477272231</v>
          </cell>
          <cell r="P55">
            <v>0.20832188881026997</v>
          </cell>
          <cell r="Q55">
            <v>0.11409767365071116</v>
          </cell>
          <cell r="AA55">
            <v>0.14618658742027568</v>
          </cell>
        </row>
        <row r="56">
          <cell r="D56">
            <v>630</v>
          </cell>
          <cell r="L56">
            <v>2.2058823529411766</v>
          </cell>
          <cell r="M56">
            <v>0.13386116080051733</v>
          </cell>
          <cell r="N56">
            <v>0.16274595697149188</v>
          </cell>
          <cell r="O56">
            <v>0.20061500676122451</v>
          </cell>
          <cell r="P56">
            <v>0.18216522235132249</v>
          </cell>
          <cell r="Q56">
            <v>9.9748237265387688E-2</v>
          </cell>
          <cell r="AA56">
            <v>0.13258506507036127</v>
          </cell>
        </row>
        <row r="57">
          <cell r="D57">
            <v>660</v>
          </cell>
          <cell r="L57">
            <v>2.3109243697478994</v>
          </cell>
          <cell r="M57">
            <v>0.15748112502414485</v>
          </cell>
          <cell r="N57">
            <v>0.13308596440027617</v>
          </cell>
          <cell r="O57">
            <v>0.18268901585167802</v>
          </cell>
          <cell r="P57">
            <v>0.15903635421831963</v>
          </cell>
          <cell r="Q57">
            <v>8.7100174096700844E-2</v>
          </cell>
          <cell r="AA57">
            <v>0.11658353760043594</v>
          </cell>
        </row>
        <row r="58">
          <cell r="D58">
            <v>690</v>
          </cell>
          <cell r="L58">
            <v>2.4159663865546221</v>
          </cell>
          <cell r="M58">
            <v>0.14698336314697705</v>
          </cell>
          <cell r="N58">
            <v>0.10701894160573143</v>
          </cell>
          <cell r="O58">
            <v>0.16507002559496178</v>
          </cell>
          <cell r="P58">
            <v>0.13865624868909218</v>
          </cell>
          <cell r="Q58">
            <v>7.5973815889450791E-2</v>
          </cell>
          <cell r="AA58">
            <v>0.10164867907273778</v>
          </cell>
        </row>
        <row r="59">
          <cell r="D59">
            <v>720</v>
          </cell>
          <cell r="L59">
            <v>2.5210084033613449</v>
          </cell>
          <cell r="M59">
            <v>0.14960780361626902</v>
          </cell>
          <cell r="N59">
            <v>8.4624359571063554E-2</v>
          </cell>
          <cell r="O59">
            <v>0.14798945264394348</v>
          </cell>
          <cell r="P59">
            <v>0.12074967219214133</v>
          </cell>
          <cell r="Q59">
            <v>6.6203340493674961E-2</v>
          </cell>
          <cell r="AA59">
            <v>8.6447153309482716E-2</v>
          </cell>
        </row>
        <row r="60">
          <cell r="D60">
            <v>780</v>
          </cell>
          <cell r="L60">
            <v>2.7310924369747904</v>
          </cell>
          <cell r="M60">
            <v>9.4494553761138106E-2</v>
          </cell>
          <cell r="N60">
            <v>5.031343001992751E-2</v>
          </cell>
          <cell r="O60">
            <v>0.11619197749698373</v>
          </cell>
          <cell r="P60">
            <v>9.1322533722130311E-2</v>
          </cell>
          <cell r="Q60">
            <v>5.0137303734590868E-2</v>
          </cell>
          <cell r="AA60">
            <v>6.7244125676357069E-2</v>
          </cell>
        </row>
        <row r="61">
          <cell r="D61">
            <v>840</v>
          </cell>
          <cell r="L61">
            <v>2.9411764705882355</v>
          </cell>
          <cell r="M61">
            <v>7.874791094538644E-2</v>
          </cell>
          <cell r="N61">
            <v>2.7970346568413573E-2</v>
          </cell>
          <cell r="O61">
            <v>8.8419605711138105E-2</v>
          </cell>
          <cell r="P61">
            <v>6.8870921921384692E-2</v>
          </cell>
          <cell r="Q61">
            <v>3.7852679835743537E-2</v>
          </cell>
          <cell r="AA61">
            <v>5.1241104869912513E-2</v>
          </cell>
        </row>
        <row r="62">
          <cell r="D62">
            <v>900</v>
          </cell>
          <cell r="L62">
            <v>3.151260504201681</v>
          </cell>
          <cell r="M62">
            <v>6.300126812963476E-2</v>
          </cell>
          <cell r="N62">
            <v>1.4539087864521526E-2</v>
          </cell>
          <cell r="O62">
            <v>6.5215083745738339E-2</v>
          </cell>
          <cell r="P62">
            <v>5.1830615166489478E-2</v>
          </cell>
          <cell r="Q62">
            <v>2.8501826091456288E-2</v>
          </cell>
          <cell r="AA62">
            <v>3.843809089014949E-2</v>
          </cell>
        </row>
        <row r="63">
          <cell r="D63">
            <v>960</v>
          </cell>
          <cell r="L63">
            <v>3.3613445378151265</v>
          </cell>
          <cell r="M63">
            <v>4.9879065783175025E-2</v>
          </cell>
          <cell r="N63">
            <v>7.0664593704074892E-3</v>
          </cell>
          <cell r="O63">
            <v>4.6620249161975227E-2</v>
          </cell>
          <cell r="P63">
            <v>3.8946127980955793E-2</v>
          </cell>
          <cell r="Q63">
            <v>2.1411097609193162E-2</v>
          </cell>
          <cell r="AA63">
            <v>2.8301749265954079E-2</v>
          </cell>
        </row>
        <row r="64">
          <cell r="D64">
            <v>1020</v>
          </cell>
          <cell r="L64">
            <v>3.5714285714285721</v>
          </cell>
          <cell r="M64">
            <v>3.1507982498131394E-2</v>
          </cell>
          <cell r="N64">
            <v>3.2113819565967681E-3</v>
          </cell>
          <cell r="O64">
            <v>3.2301907996254008E-2</v>
          </cell>
          <cell r="P64">
            <v>2.9230866142067775E-2</v>
          </cell>
          <cell r="Q64">
            <v>1.6051583753029886E-2</v>
          </cell>
          <cell r="AA64">
            <v>2.1898748939553347E-2</v>
          </cell>
        </row>
        <row r="65">
          <cell r="D65">
            <v>1080</v>
          </cell>
          <cell r="L65">
            <v>3.7815126050420171</v>
          </cell>
          <cell r="M65">
            <v>2.8883542028839453E-2</v>
          </cell>
          <cell r="N65">
            <v>1.3646065487314329E-3</v>
          </cell>
          <cell r="O65">
            <v>2.1692460381754604E-2</v>
          </cell>
          <cell r="P65">
            <v>2.1920295816511035E-2</v>
          </cell>
          <cell r="Q65">
            <v>1.2011881846378454E-2</v>
          </cell>
          <cell r="AA65">
            <v>1.6029083084266094E-2</v>
          </cell>
        </row>
        <row r="66">
          <cell r="D66">
            <v>1140</v>
          </cell>
          <cell r="L66">
            <v>3.9915966386554627</v>
          </cell>
          <cell r="M66">
            <v>2.3634661090255561E-2</v>
          </cell>
          <cell r="N66">
            <v>5.4218603940183027E-4</v>
          </cell>
          <cell r="O66">
            <v>1.4119408445286931E-2</v>
          </cell>
          <cell r="P66">
            <v>1.6427622685865124E-2</v>
          </cell>
          <cell r="Q66">
            <v>8.9743589363389647E-3</v>
          </cell>
          <cell r="AA66">
            <v>1.122608617120624E-2</v>
          </cell>
        </row>
        <row r="67">
          <cell r="D67">
            <v>1200</v>
          </cell>
          <cell r="L67">
            <v>4.2016806722689077</v>
          </cell>
          <cell r="M67">
            <v>1.5761339682379714E-2</v>
          </cell>
          <cell r="N67">
            <v>2.0142557038876273E-4</v>
          </cell>
          <cell r="O67">
            <v>8.9074058769923088E-3</v>
          </cell>
          <cell r="P67">
            <v>1.2305517032731394E-2</v>
          </cell>
          <cell r="Q67">
            <v>6.6952525768849943E-3</v>
          </cell>
          <cell r="AA67">
            <v>8.023092671486709E-3</v>
          </cell>
        </row>
        <row r="68">
          <cell r="D68">
            <v>1260</v>
          </cell>
          <cell r="L68">
            <v>4.4117647058823533</v>
          </cell>
          <cell r="M68">
            <v>1.0512458743795822E-2</v>
          </cell>
          <cell r="N68">
            <v>6.996909633523091E-5</v>
          </cell>
          <cell r="O68">
            <v>5.446443889555415E-3</v>
          </cell>
          <cell r="P68">
            <v>9.2146346568320464E-3</v>
          </cell>
          <cell r="Q68">
            <v>4.9884202235147305E-3</v>
          </cell>
          <cell r="AA68">
            <v>5.8867681139942452E-3</v>
          </cell>
        </row>
        <row r="69">
          <cell r="D69">
            <v>1320</v>
          </cell>
          <cell r="L69">
            <v>4.6218487394957988</v>
          </cell>
          <cell r="M69">
            <v>1.0512458743795822E-2</v>
          </cell>
          <cell r="N69">
            <v>2.2726016586011324E-5</v>
          </cell>
          <cell r="O69">
            <v>3.2277647710326658E-3</v>
          </cell>
          <cell r="P69">
            <v>6.8984741924974155E-3</v>
          </cell>
          <cell r="Q69">
            <v>3.7123118405581377E-3</v>
          </cell>
          <cell r="AA69">
            <v>3.7504435565017813E-3</v>
          </cell>
        </row>
        <row r="70">
          <cell r="D70">
            <v>1380</v>
          </cell>
          <cell r="L70">
            <v>4.8319327731092443</v>
          </cell>
          <cell r="M70">
            <v>7.8880182745038763E-3</v>
          </cell>
          <cell r="N70">
            <v>6.901853953745384E-6</v>
          </cell>
          <cell r="O70">
            <v>1.8540343334852135E-3</v>
          </cell>
          <cell r="P70">
            <v>5.1636710820508651E-3</v>
          </cell>
          <cell r="Q70">
            <v>2.7596689891485147E-3</v>
          </cell>
          <cell r="AA70">
            <v>2.1474534701230175E-3</v>
          </cell>
        </row>
        <row r="71">
          <cell r="D71">
            <v>1440</v>
          </cell>
          <cell r="L71">
            <v>5.0420168067226898</v>
          </cell>
          <cell r="M71">
            <v>5.2635778052119277E-3</v>
          </cell>
          <cell r="N71">
            <v>1.9598985997136547E-6</v>
          </cell>
          <cell r="O71">
            <v>1.0321925469099786E-3</v>
          </cell>
          <cell r="P71">
            <v>3.8647488283722027E-3</v>
          </cell>
          <cell r="Q71">
            <v>2.0494653630734614E-3</v>
          </cell>
          <cell r="AA71">
            <v>1.0777978548575096E-3</v>
          </cell>
        </row>
        <row r="72">
          <cell r="D72">
            <v>1470</v>
          </cell>
          <cell r="L72">
            <v>5.1470588235294121</v>
          </cell>
          <cell r="M72">
            <v>2.6391373359199825E-3</v>
          </cell>
          <cell r="N72">
            <v>1.0184202899409571E-6</v>
          </cell>
          <cell r="O72">
            <v>7.6118870706518027E-4</v>
          </cell>
          <cell r="P72">
            <v>3.3434380474152785E-3</v>
          </cell>
          <cell r="Q72">
            <v>1.7655606328827527E-3</v>
          </cell>
          <cell r="AA72">
            <v>8.0963728278160563E-4</v>
          </cell>
        </row>
        <row r="73">
          <cell r="D73">
            <v>1500</v>
          </cell>
          <cell r="L73">
            <v>5.2521008403361353</v>
          </cell>
          <cell r="M73">
            <v>2.6391373359199825E-3</v>
          </cell>
          <cell r="N73">
            <v>5.2038747072615795E-7</v>
          </cell>
          <cell r="O73">
            <v>5.5696860670486291E-4</v>
          </cell>
          <cell r="P73">
            <v>2.8924245771173042E-3</v>
          </cell>
          <cell r="Q73">
            <v>1.520653448209815E-3</v>
          </cell>
          <cell r="AA73">
            <v>5.4147671070570169E-4</v>
          </cell>
        </row>
        <row r="74">
          <cell r="D74">
            <v>1530</v>
          </cell>
          <cell r="L74">
            <v>5.3571428571428577</v>
          </cell>
          <cell r="M74">
            <v>2.6391373359199825E-3</v>
          </cell>
          <cell r="N74">
            <v>2.614766835257593E-7</v>
          </cell>
          <cell r="O74">
            <v>4.0436714381906878E-4</v>
          </cell>
          <cell r="P74">
            <v>2.5022430496383966E-3</v>
          </cell>
          <cell r="Q74">
            <v>1.3094447134469583E-3</v>
          </cell>
          <cell r="AA74">
            <v>2.7331613862979776E-4</v>
          </cell>
        </row>
        <row r="75">
          <cell r="D75">
            <v>1560</v>
          </cell>
          <cell r="L75">
            <v>5.4621848739495809</v>
          </cell>
          <cell r="M75">
            <v>2.6391373359199825E-3</v>
          </cell>
          <cell r="N75">
            <v>1.2919492438597767E-7</v>
          </cell>
          <cell r="O75">
            <v>2.9129146973267707E-4</v>
          </cell>
          <cell r="P75">
            <v>2.1646981179587669E-3</v>
          </cell>
          <cell r="Q75">
            <v>1.1273451635341186E-3</v>
          </cell>
          <cell r="AA75">
            <v>5.1555665536717754E-6</v>
          </cell>
        </row>
        <row r="76">
          <cell r="D76">
            <v>1590</v>
          </cell>
          <cell r="L76">
            <v>5.5672268907563032</v>
          </cell>
          <cell r="M76">
            <v>1.4696866628035513E-5</v>
          </cell>
          <cell r="N76">
            <v>6.2771756901719634E-8</v>
          </cell>
          <cell r="O76">
            <v>2.0820273778994781E-4</v>
          </cell>
          <cell r="P76">
            <v>1.8726952527816593E-3</v>
          </cell>
          <cell r="Q76">
            <v>9.7038213050971327E-4</v>
          </cell>
          <cell r="AA76">
            <v>3.6622300346733638E-6</v>
          </cell>
        </row>
        <row r="77">
          <cell r="D77">
            <v>1620</v>
          </cell>
          <cell r="L77">
            <v>5.6722689075630255</v>
          </cell>
          <cell r="M77">
            <v>1.4696866628035513E-5</v>
          </cell>
          <cell r="N77">
            <v>2.9990897610149712E-8</v>
          </cell>
          <cell r="O77">
            <v>1.4765626142983841E-4</v>
          </cell>
          <cell r="P77">
            <v>1.6200937783606355E-3</v>
          </cell>
          <cell r="Q77">
            <v>8.3511821255403897E-4</v>
          </cell>
          <cell r="AA77">
            <v>2.1688935154529076E-6</v>
          </cell>
        </row>
        <row r="78">
          <cell r="D78">
            <v>1650</v>
          </cell>
          <cell r="L78">
            <v>5.7773109243697487</v>
          </cell>
          <cell r="M78">
            <v>0</v>
          </cell>
          <cell r="N78">
            <v>1.4090324401476612E-8</v>
          </cell>
          <cell r="O78">
            <v>1.0390203727981301E-4</v>
          </cell>
          <cell r="P78">
            <v>1.4015792994555238E-3</v>
          </cell>
          <cell r="Q78">
            <v>7.185803917409754E-4</v>
          </cell>
          <cell r="AA78">
            <v>2.1688935154529076E-6</v>
          </cell>
        </row>
        <row r="79">
          <cell r="D79">
            <v>1680</v>
          </cell>
          <cell r="L79">
            <v>5.882352941176471</v>
          </cell>
          <cell r="M79">
            <v>0</v>
          </cell>
          <cell r="N79">
            <v>6.5096684206794237E-9</v>
          </cell>
          <cell r="O79">
            <v>7.2544254336432478E-5</v>
          </cell>
          <cell r="P79">
            <v>1.2125530176227014E-3</v>
          </cell>
          <cell r="Q79">
            <v>6.1819831117326655E-4</v>
          </cell>
          <cell r="AA79">
            <v>2.1688935154529076E-6</v>
          </cell>
        </row>
        <row r="80">
          <cell r="D80">
            <v>1710</v>
          </cell>
          <cell r="L80">
            <v>5.9873949579831942</v>
          </cell>
          <cell r="M80">
            <v>0</v>
          </cell>
          <cell r="N80">
            <v>2.9573524879670122E-9</v>
          </cell>
          <cell r="O80">
            <v>5.0256095214732889E-5</v>
          </cell>
          <cell r="P80">
            <v>1.0490357437770036E-3</v>
          </cell>
          <cell r="Q80">
            <v>5.3175057079923079E-4</v>
          </cell>
          <cell r="AA80">
            <v>2.1688935154529076E-6</v>
          </cell>
        </row>
        <row r="81">
          <cell r="D81">
            <v>1740</v>
          </cell>
          <cell r="L81">
            <v>6.0924369747899165</v>
          </cell>
          <cell r="M81">
            <v>0</v>
          </cell>
          <cell r="N81">
            <v>1.3211546657280187E-9</v>
          </cell>
          <cell r="O81">
            <v>3.4544684100607339E-5</v>
          </cell>
          <cell r="P81">
            <v>9.0758468814685126E-4</v>
          </cell>
          <cell r="Q81">
            <v>4.5731803488055538E-4</v>
          </cell>
          <cell r="AA81">
            <v>2.1688935154529076E-6</v>
          </cell>
        </row>
        <row r="82">
          <cell r="D82">
            <v>1770</v>
          </cell>
          <cell r="L82">
            <v>6.1974789915966397</v>
          </cell>
          <cell r="M82">
            <v>0</v>
          </cell>
          <cell r="N82">
            <v>5.8037751978557807E-10</v>
          </cell>
          <cell r="O82">
            <v>2.3560281338651568E-5</v>
          </cell>
          <cell r="P82">
            <v>7.8522135130220511E-4</v>
          </cell>
          <cell r="Q82">
            <v>3.9324326381346764E-4</v>
          </cell>
          <cell r="AA82">
            <v>2.1688935154529076E-6</v>
          </cell>
        </row>
      </sheetData>
      <sheetData sheetId="10"/>
      <sheetData sheetId="11"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1.1026315789473686E-2</v>
          </cell>
        </row>
        <row r="31">
          <cell r="E31">
            <v>3.2956140350877197E-2</v>
          </cell>
        </row>
        <row r="32">
          <cell r="E32">
            <v>0.12067543859649123</v>
          </cell>
        </row>
        <row r="33">
          <cell r="E33">
            <v>0.36190350877192978</v>
          </cell>
        </row>
        <row r="34">
          <cell r="E34">
            <v>0.58120175438596478</v>
          </cell>
        </row>
        <row r="35">
          <cell r="E35">
            <v>0.91014912280701743</v>
          </cell>
        </row>
        <row r="36">
          <cell r="E36">
            <v>1.2281315789473684</v>
          </cell>
        </row>
        <row r="37">
          <cell r="E37">
            <v>1.7983070175438598</v>
          </cell>
        </row>
        <row r="38">
          <cell r="E38">
            <v>2.2478684210526314</v>
          </cell>
        </row>
        <row r="39">
          <cell r="E39">
            <v>2.5877807017543861</v>
          </cell>
        </row>
        <row r="40">
          <cell r="E40">
            <v>2.7522543859649122</v>
          </cell>
        </row>
        <row r="41">
          <cell r="E41">
            <v>2.7741842105263155</v>
          </cell>
        </row>
        <row r="42">
          <cell r="E42">
            <v>2.7851491228070175</v>
          </cell>
        </row>
        <row r="43">
          <cell r="E43">
            <v>2.7193596491228069</v>
          </cell>
        </row>
        <row r="44">
          <cell r="E44">
            <v>2.6535701754385963</v>
          </cell>
        </row>
        <row r="45">
          <cell r="E45">
            <v>2.5548859649122808</v>
          </cell>
        </row>
        <row r="46">
          <cell r="E46">
            <v>2.4233070175438596</v>
          </cell>
        </row>
        <row r="47">
          <cell r="E47">
            <v>2.2917280701754388</v>
          </cell>
        </row>
        <row r="48">
          <cell r="E48">
            <v>2.1820789473684208</v>
          </cell>
        </row>
        <row r="49">
          <cell r="E49">
            <v>2.1162894736842106</v>
          </cell>
        </row>
        <row r="50">
          <cell r="E50">
            <v>1.9956754385964914</v>
          </cell>
        </row>
        <row r="51">
          <cell r="E51">
            <v>1.8312017543859649</v>
          </cell>
        </row>
        <row r="52">
          <cell r="E52">
            <v>1.7215526315789476</v>
          </cell>
        </row>
        <row r="53">
          <cell r="E53">
            <v>1.7325175438596492</v>
          </cell>
        </row>
        <row r="54">
          <cell r="E54">
            <v>1.7654122807017545</v>
          </cell>
        </row>
        <row r="55">
          <cell r="E55">
            <v>1.6119035087719298</v>
          </cell>
        </row>
        <row r="56">
          <cell r="E56">
            <v>1.3268157894736841</v>
          </cell>
        </row>
        <row r="57">
          <cell r="E57">
            <v>1.0855877192982455</v>
          </cell>
        </row>
        <row r="58">
          <cell r="E58">
            <v>0.97593859649122805</v>
          </cell>
        </row>
        <row r="59">
          <cell r="E59">
            <v>0.80049999999999999</v>
          </cell>
        </row>
        <row r="60">
          <cell r="E60">
            <v>0.7456754385964911</v>
          </cell>
        </row>
        <row r="61">
          <cell r="E61">
            <v>0.61409649122807008</v>
          </cell>
        </row>
        <row r="62">
          <cell r="E62">
            <v>0.44962280701754381</v>
          </cell>
        </row>
        <row r="63">
          <cell r="E63">
            <v>0.36190350877192978</v>
          </cell>
        </row>
        <row r="64">
          <cell r="E64">
            <v>0.29611403508771933</v>
          </cell>
        </row>
        <row r="65">
          <cell r="E65">
            <v>0.219359649122807</v>
          </cell>
        </row>
        <row r="66">
          <cell r="E66">
            <v>0.16453508771929823</v>
          </cell>
        </row>
        <row r="67">
          <cell r="E67">
            <v>0.14260526315789473</v>
          </cell>
        </row>
        <row r="68">
          <cell r="E68">
            <v>0.12067543859649123</v>
          </cell>
        </row>
        <row r="69">
          <cell r="E69">
            <v>8.7780701754385973E-2</v>
          </cell>
        </row>
        <row r="70">
          <cell r="E70">
            <v>7.6815789473684212E-2</v>
          </cell>
        </row>
        <row r="71">
          <cell r="E71">
            <v>5.4885964912280705E-2</v>
          </cell>
        </row>
        <row r="72">
          <cell r="E72">
            <v>4.3921052631578944E-2</v>
          </cell>
        </row>
        <row r="73">
          <cell r="E73">
            <v>3.2956140350877197E-2</v>
          </cell>
        </row>
        <row r="74">
          <cell r="E74">
            <v>3.2956140350877197E-2</v>
          </cell>
        </row>
        <row r="75">
          <cell r="E75">
            <v>2.1991228070175433E-2</v>
          </cell>
        </row>
        <row r="76">
          <cell r="E76">
            <v>2.1991228070175433E-2</v>
          </cell>
        </row>
        <row r="77">
          <cell r="E77">
            <v>1.1026315789473686E-2</v>
          </cell>
        </row>
        <row r="78">
          <cell r="E78">
            <v>3.2956140350877197E-2</v>
          </cell>
        </row>
        <row r="79">
          <cell r="E79">
            <v>3.2956140350877197E-2</v>
          </cell>
        </row>
        <row r="80">
          <cell r="E80">
            <v>1.1026315789473686E-2</v>
          </cell>
        </row>
        <row r="81">
          <cell r="E81">
            <v>5.4885964912280705E-2</v>
          </cell>
        </row>
        <row r="82">
          <cell r="E82">
            <v>6.1403508771932375E-5</v>
          </cell>
        </row>
        <row r="83">
          <cell r="E83">
            <v>0</v>
          </cell>
        </row>
      </sheetData>
      <sheetData sheetId="12">
        <row r="6">
          <cell r="J6">
            <v>1047.5</v>
          </cell>
        </row>
        <row r="11">
          <cell r="L11">
            <v>0</v>
          </cell>
          <cell r="M11">
            <v>0</v>
          </cell>
          <cell r="N11">
            <v>0.1237223437566765</v>
          </cell>
          <cell r="Q11">
            <v>0</v>
          </cell>
        </row>
        <row r="12">
          <cell r="L12">
            <v>1.0157646676418008E-2</v>
          </cell>
          <cell r="M12">
            <v>0</v>
          </cell>
          <cell r="N12">
            <v>0.12834677967474581</v>
          </cell>
          <cell r="P12">
            <v>8.9023394662431911E-106</v>
          </cell>
          <cell r="Q12">
            <v>2.9681155126001226E-4</v>
          </cell>
          <cell r="R12">
            <v>1.0663254425250587E-2</v>
          </cell>
          <cell r="S12">
            <v>7.0441958931438375E-66</v>
          </cell>
        </row>
        <row r="13">
          <cell r="L13">
            <v>2.0315293352836016E-2</v>
          </cell>
          <cell r="M13">
            <v>0</v>
          </cell>
          <cell r="N13">
            <v>0.13309419291348809</v>
          </cell>
          <cell r="P13">
            <v>7.6072277477492121E-52</v>
          </cell>
          <cell r="Q13">
            <v>1.7717953773124749E-3</v>
          </cell>
          <cell r="R13">
            <v>2.1326508850501174E-2</v>
          </cell>
          <cell r="S13">
            <v>1.3783307162220651E-31</v>
          </cell>
        </row>
        <row r="14">
          <cell r="L14">
            <v>3.0472940029254023E-2</v>
          </cell>
          <cell r="M14">
            <v>0</v>
          </cell>
          <cell r="N14">
            <v>0.13796550995701279</v>
          </cell>
          <cell r="P14">
            <v>6.5035661380409189E-34</v>
          </cell>
          <cell r="Q14">
            <v>4.9620084728524217E-3</v>
          </cell>
          <cell r="R14">
            <v>3.1989763275751759E-2</v>
          </cell>
          <cell r="S14">
            <v>2.8246874600212714E-20</v>
          </cell>
        </row>
        <row r="15">
          <cell r="L15">
            <v>4.0630586705672031E-2</v>
          </cell>
          <cell r="M15">
            <v>0</v>
          </cell>
          <cell r="N15">
            <v>0.1429615495999623</v>
          </cell>
          <cell r="P15">
            <v>5.6896603526967525E-25</v>
          </cell>
          <cell r="Q15">
            <v>1.0193642131146364E-2</v>
          </cell>
          <cell r="R15">
            <v>4.2653017701002348E-2</v>
          </cell>
          <cell r="S15">
            <v>1.1155469834187846E-14</v>
          </cell>
        </row>
        <row r="16">
          <cell r="L16">
            <v>5.0788233382090035E-2</v>
          </cell>
          <cell r="M16">
            <v>0</v>
          </cell>
          <cell r="N16">
            <v>0.1480830177575197</v>
          </cell>
          <cell r="P16">
            <v>1.2729426411565224E-19</v>
          </cell>
          <cell r="Q16">
            <v>1.7671088335573692E-2</v>
          </cell>
          <cell r="R16">
            <v>5.3316272126252937E-2</v>
          </cell>
          <cell r="S16">
            <v>2.3405455693586413E-11</v>
          </cell>
        </row>
        <row r="17">
          <cell r="L17">
            <v>6.0945880058508047E-2</v>
          </cell>
          <cell r="M17">
            <v>0</v>
          </cell>
          <cell r="N17">
            <v>0.15333050230169898</v>
          </cell>
          <cell r="P17">
            <v>4.5738549379415644E-16</v>
          </cell>
          <cell r="Q17">
            <v>2.7514167250852962E-2</v>
          </cell>
          <cell r="R17">
            <v>6.3979526551503518E-2</v>
          </cell>
          <cell r="S17">
            <v>3.6255494171311479E-9</v>
          </cell>
        </row>
        <row r="18">
          <cell r="L18">
            <v>7.1103526734926051E-2</v>
          </cell>
          <cell r="M18">
            <v>0</v>
          </cell>
          <cell r="N18">
            <v>0.15870446793668114</v>
          </cell>
          <cell r="P18">
            <v>1.5542565113254719E-13</v>
          </cell>
          <cell r="Q18">
            <v>3.9779840732570931E-2</v>
          </cell>
          <cell r="R18">
            <v>7.4642780976754114E-2</v>
          </cell>
          <cell r="S18">
            <v>1.2760244877830238E-7</v>
          </cell>
        </row>
        <row r="19">
          <cell r="L19">
            <v>8.1261173411344062E-2</v>
          </cell>
          <cell r="M19">
            <v>0</v>
          </cell>
          <cell r="N19">
            <v>0.16420525112631446</v>
          </cell>
          <cell r="P19">
            <v>1.2113548461550345E-11</v>
          </cell>
          <cell r="Q19">
            <v>5.4476764639700338E-2</v>
          </cell>
          <cell r="R19">
            <v>8.5306035402004696E-2</v>
          </cell>
          <cell r="S19">
            <v>1.7867937808768683E-6</v>
          </cell>
        </row>
        <row r="20">
          <cell r="L20">
            <v>9.1418820087762059E-2</v>
          </cell>
          <cell r="M20">
            <v>0</v>
          </cell>
          <cell r="N20">
            <v>0.16983305508722554</v>
          </cell>
          <cell r="P20">
            <v>3.5410094244424359E-10</v>
          </cell>
          <cell r="Q20">
            <v>7.1575833820929441E-2</v>
          </cell>
          <cell r="R20">
            <v>9.5969289827255277E-2</v>
          </cell>
          <cell r="S20">
            <v>1.3575244032090259E-5</v>
          </cell>
        </row>
        <row r="21">
          <cell r="L21">
            <v>0.10157646676418007</v>
          </cell>
          <cell r="M21">
            <v>0</v>
          </cell>
          <cell r="N21">
            <v>0.1755879448612869</v>
          </cell>
          <cell r="P21">
            <v>5.2138845769746245E-9</v>
          </cell>
          <cell r="Q21">
            <v>9.1018206830732903E-2</v>
          </cell>
          <cell r="R21">
            <v>0.10663254425250587</v>
          </cell>
          <cell r="S21">
            <v>6.7367815257370178E-5</v>
          </cell>
        </row>
        <row r="22">
          <cell r="L22">
            <v>0.11173411344059808</v>
          </cell>
          <cell r="M22">
            <v>0</v>
          </cell>
          <cell r="N22">
            <v>0.18146984248145268</v>
          </cell>
          <cell r="P22">
            <v>4.6646488339414496E-8</v>
          </cell>
          <cell r="Q22">
            <v>0.11272161545302083</v>
          </cell>
          <cell r="R22">
            <v>0.11729579867775645</v>
          </cell>
          <cell r="S22">
            <v>2.4563855339085463E-4</v>
          </cell>
        </row>
        <row r="23">
          <cell r="L23">
            <v>0.12189176011701609</v>
          </cell>
          <cell r="M23">
            <v>0</v>
          </cell>
          <cell r="N23">
            <v>0.1874785222452118</v>
          </cell>
          <cell r="P23">
            <v>2.8731557253603918E-7</v>
          </cell>
          <cell r="Q23">
            <v>0.13658543907116891</v>
          </cell>
          <cell r="R23">
            <v>0.12795905310300704</v>
          </cell>
          <cell r="S23">
            <v>7.1160799096999742E-4</v>
          </cell>
        </row>
        <row r="24">
          <cell r="L24">
            <v>0.1422070534698521</v>
          </cell>
          <cell r="M24">
            <v>0</v>
          </cell>
          <cell r="N24">
            <v>0.19987455922588129</v>
          </cell>
          <cell r="P24">
            <v>4.9034179300112231E-6</v>
          </cell>
          <cell r="Q24">
            <v>0.19032424826861974</v>
          </cell>
          <cell r="R24">
            <v>0.14928556195350823</v>
          </cell>
          <cell r="S24">
            <v>3.6594788164728657E-3</v>
          </cell>
        </row>
        <row r="25">
          <cell r="L25">
            <v>0.16252234682268812</v>
          </cell>
          <cell r="M25">
            <v>0</v>
          </cell>
          <cell r="N25">
            <v>0.21277112403798495</v>
          </cell>
          <cell r="P25">
            <v>4.0283904264150613E-5</v>
          </cell>
          <cell r="Q25">
            <v>0.25120335943981309</v>
          </cell>
          <cell r="R25">
            <v>0.17061207080400939</v>
          </cell>
          <cell r="S25">
            <v>1.2055324705693166E-2</v>
          </cell>
        </row>
        <row r="26">
          <cell r="L26">
            <v>0.18283764017552412</v>
          </cell>
          <cell r="M26">
            <v>0</v>
          </cell>
          <cell r="N26">
            <v>0.22616064197405292</v>
          </cell>
          <cell r="P26">
            <v>2.0348273375985626E-4</v>
          </cell>
          <cell r="Q26">
            <v>0.31809995305321198</v>
          </cell>
          <cell r="R26">
            <v>0.19193857965451055</v>
          </cell>
          <cell r="S26">
            <v>2.9600363930199883E-2</v>
          </cell>
        </row>
        <row r="27">
          <cell r="L27">
            <v>0.20315293352836014</v>
          </cell>
          <cell r="M27">
            <v>0</v>
          </cell>
          <cell r="N27">
            <v>0.24003277174267934</v>
          </cell>
          <cell r="P27">
            <v>7.3174816898788754E-4</v>
          </cell>
          <cell r="Q27">
            <v>0.38985985510435628</v>
          </cell>
          <cell r="R27">
            <v>0.21326508850501175</v>
          </cell>
          <cell r="S27">
            <v>5.9289428652769302E-2</v>
          </cell>
        </row>
        <row r="28">
          <cell r="L28">
            <v>0.22346822688119616</v>
          </cell>
          <cell r="M28">
            <v>4.5506874904967754E-3</v>
          </cell>
          <cell r="N28">
            <v>0.25437429530643019</v>
          </cell>
          <cell r="P28">
            <v>2.0563570876971486E-3</v>
          </cell>
          <cell r="Q28">
            <v>0.46534012163142974</v>
          </cell>
          <cell r="R28">
            <v>0.23459159735551291</v>
          </cell>
          <cell r="S28">
            <v>0.1025653600010815</v>
          </cell>
        </row>
        <row r="29">
          <cell r="L29">
            <v>0.24378352023403219</v>
          </cell>
          <cell r="M29">
            <v>1.3601378601269995E-2</v>
          </cell>
          <cell r="N29">
            <v>0.26916902306674539</v>
          </cell>
          <cell r="P29">
            <v>4.8048273386550383E-3</v>
          </cell>
          <cell r="Q29">
            <v>0.54343893549813949</v>
          </cell>
          <cell r="R29">
            <v>0.25591810620601407</v>
          </cell>
          <cell r="S29">
            <v>0.1591392672989935</v>
          </cell>
        </row>
        <row r="30">
          <cell r="L30">
            <v>0.27425646026328621</v>
          </cell>
          <cell r="M30">
            <v>4.980414304436287E-2</v>
          </cell>
          <cell r="N30">
            <v>0.29216793903870175</v>
          </cell>
          <cell r="P30">
            <v>1.3288590356866279E-2</v>
          </cell>
          <cell r="Q30">
            <v>0.66324191674861455</v>
          </cell>
          <cell r="R30">
            <v>0.28790786948176583</v>
          </cell>
          <cell r="S30">
            <v>0.2649162846733078</v>
          </cell>
        </row>
        <row r="31">
          <cell r="L31">
            <v>0.3047294002925402</v>
          </cell>
          <cell r="M31">
            <v>0.14936174526286825</v>
          </cell>
          <cell r="N31">
            <v>0.31606446545430306</v>
          </cell>
          <cell r="P31">
            <v>2.9363281936050589E-2</v>
          </cell>
          <cell r="Q31">
            <v>0.78342951774340686</v>
          </cell>
          <cell r="R31">
            <v>0.31989763275751759</v>
          </cell>
          <cell r="S31">
            <v>0.38741716369826146</v>
          </cell>
        </row>
        <row r="32">
          <cell r="L32">
            <v>0.33520234032179425</v>
          </cell>
          <cell r="M32">
            <v>0.2398686563706004</v>
          </cell>
          <cell r="N32">
            <v>0.34076456072247563</v>
          </cell>
          <cell r="P32">
            <v>5.5139092680696125E-2</v>
          </cell>
          <cell r="Q32">
            <v>0.90124935228324832</v>
          </cell>
          <cell r="R32">
            <v>0.35188739603326935</v>
          </cell>
          <cell r="S32">
            <v>0.51640877608666025</v>
          </cell>
        </row>
        <row r="33">
          <cell r="L33">
            <v>0.36567528035104824</v>
          </cell>
          <cell r="M33">
            <v>0.37562902303219869</v>
          </cell>
          <cell r="N33">
            <v>0.36615823705910477</v>
          </cell>
          <cell r="P33">
            <v>9.1680484615581856E-2</v>
          </cell>
          <cell r="Q33">
            <v>1.0143977339901007</v>
          </cell>
          <cell r="R33">
            <v>0.38387715930902111</v>
          </cell>
          <cell r="S33">
            <v>0.64285432187755498</v>
          </cell>
        </row>
        <row r="34">
          <cell r="L34">
            <v>0.39614822038030229</v>
          </cell>
          <cell r="M34">
            <v>0.50686404413841035</v>
          </cell>
          <cell r="N34">
            <v>0.39211985248339637</v>
          </cell>
          <cell r="P34">
            <v>0.13885988420607054</v>
          </cell>
          <cell r="Q34">
            <v>1.1210102364078638</v>
          </cell>
          <cell r="R34">
            <v>0.41586692258477287</v>
          </cell>
          <cell r="S34">
            <v>0.75992314703698294</v>
          </cell>
        </row>
        <row r="35">
          <cell r="L35">
            <v>0.42662116040955633</v>
          </cell>
          <cell r="M35">
            <v>0.74218201301851416</v>
          </cell>
          <cell r="N35">
            <v>0.41850869807713104</v>
          </cell>
          <cell r="P35">
            <v>0.19549756620748385</v>
          </cell>
          <cell r="Q35">
            <v>1.2196359078660794</v>
          </cell>
          <cell r="R35">
            <v>0.44785668586052463</v>
          </cell>
          <cell r="S35">
            <v>0.86313241027824161</v>
          </cell>
        </row>
        <row r="36">
          <cell r="L36">
            <v>0.45709410043881032</v>
          </cell>
          <cell r="M36">
            <v>0.92772118078936494</v>
          </cell>
          <cell r="N36">
            <v>0.44516989019874359</v>
          </cell>
          <cell r="P36">
            <v>0.25965542373257317</v>
          </cell>
          <cell r="Q36">
            <v>1.309201846017358</v>
          </cell>
          <cell r="R36">
            <v>0.47984644913627639</v>
          </cell>
          <cell r="S36">
            <v>0.95004674691800817</v>
          </cell>
        </row>
        <row r="37">
          <cell r="L37">
            <v>0.48756704046806437</v>
          </cell>
          <cell r="M37">
            <v>1.06800689300635</v>
          </cell>
          <cell r="N37">
            <v>0.4719355706228775</v>
          </cell>
          <cell r="P37">
            <v>0.32896906255409425</v>
          </cell>
          <cell r="Q37">
            <v>1.38897277677913</v>
          </cell>
          <cell r="R37">
            <v>0.51183621241202815</v>
          </cell>
          <cell r="S37">
            <v>1.0198216048879742</v>
          </cell>
        </row>
        <row r="38">
          <cell r="L38">
            <v>0.51803998049731836</v>
          </cell>
          <cell r="M38">
            <v>1.1358870763371491</v>
          </cell>
          <cell r="N38">
            <v>0.49862641029678784</v>
          </cell>
          <cell r="P38">
            <v>0.4009452074365904</v>
          </cell>
          <cell r="Q38">
            <v>1.4585088363779959</v>
          </cell>
          <cell r="R38">
            <v>0.54382597568777991</v>
          </cell>
          <cell r="S38">
            <v>1.0727452310724572</v>
          </cell>
        </row>
        <row r="39">
          <cell r="L39">
            <v>0.54851292052657241</v>
          </cell>
          <cell r="M39">
            <v>1.1449377674479222</v>
          </cell>
          <cell r="N39">
            <v>0.52505340475646001</v>
          </cell>
          <cell r="P39">
            <v>0.4731908689363612</v>
          </cell>
          <cell r="Q39">
            <v>1.5176237258563496</v>
          </cell>
          <cell r="R39">
            <v>0.57581573896353166</v>
          </cell>
          <cell r="S39">
            <v>1.1098473198693835</v>
          </cell>
        </row>
        <row r="40">
          <cell r="L40">
            <v>0.57898586055582646</v>
          </cell>
          <cell r="M40">
            <v>1.1494631130033088</v>
          </cell>
          <cell r="N40">
            <v>0.55101994144178623</v>
          </cell>
          <cell r="P40">
            <v>0.54356765728061629</v>
          </cell>
          <cell r="Q40">
            <v>1.5663446688104035</v>
          </cell>
          <cell r="R40">
            <v>0.60780550223928342</v>
          </cell>
          <cell r="S40">
            <v>1.1325936504182892</v>
          </cell>
        </row>
        <row r="41">
          <cell r="L41">
            <v>0.6094588005850804</v>
          </cell>
          <cell r="M41">
            <v>1.1223110396709892</v>
          </cell>
          <cell r="N41">
            <v>0.57632411142476403</v>
          </cell>
          <cell r="P41">
            <v>0.61027936905689373</v>
          </cell>
          <cell r="Q41">
            <v>1.6048750716809363</v>
          </cell>
          <cell r="R41">
            <v>0.63979526551503518</v>
          </cell>
          <cell r="S41">
            <v>1.1426625423716426</v>
          </cell>
        </row>
        <row r="42">
          <cell r="L42">
            <v>0.6500893872907525</v>
          </cell>
          <cell r="M42">
            <v>1.0951589663386696</v>
          </cell>
          <cell r="N42">
            <v>0.60867881576999461</v>
          </cell>
          <cell r="P42">
            <v>0.69112883335159603</v>
          </cell>
          <cell r="Q42">
            <v>1.6410106857072861</v>
          </cell>
          <cell r="R42">
            <v>0.68244828321603757</v>
          </cell>
          <cell r="S42">
            <v>1.1393624137901757</v>
          </cell>
        </row>
        <row r="43">
          <cell r="L43">
            <v>0.69071997399642449</v>
          </cell>
          <cell r="M43">
            <v>1.0544308563401901</v>
          </cell>
          <cell r="N43">
            <v>0.63900796362798773</v>
          </cell>
          <cell r="P43">
            <v>0.760643294747121</v>
          </cell>
          <cell r="Q43">
            <v>1.6607711532600629</v>
          </cell>
          <cell r="R43">
            <v>0.72510130091703995</v>
          </cell>
          <cell r="S43">
            <v>1.1205676196449688</v>
          </cell>
        </row>
        <row r="44">
          <cell r="L44">
            <v>0.73135056070209647</v>
          </cell>
          <cell r="M44">
            <v>1.0001267096755508</v>
          </cell>
          <cell r="N44">
            <v>0.66683907455734681</v>
          </cell>
          <cell r="P44">
            <v>0.81753670372193943</v>
          </cell>
          <cell r="Q44">
            <v>1.6655124695164092</v>
          </cell>
          <cell r="R44">
            <v>0.76775431861804222</v>
          </cell>
          <cell r="S44">
            <v>1.0898693839020397</v>
          </cell>
        </row>
        <row r="45">
          <cell r="L45">
            <v>0.77198114740776858</v>
          </cell>
          <cell r="M45">
            <v>0.94582256301091161</v>
          </cell>
          <cell r="N45">
            <v>0.69172344479094516</v>
          </cell>
          <cell r="P45">
            <v>0.86139179701128243</v>
          </cell>
          <cell r="Q45">
            <v>1.6567392727358192</v>
          </cell>
          <cell r="R45">
            <v>0.8104073363190446</v>
          </cell>
          <cell r="S45">
            <v>1.0503824323890354</v>
          </cell>
        </row>
        <row r="46">
          <cell r="L46">
            <v>0.81261173411344056</v>
          </cell>
          <cell r="M46">
            <v>0.90056910745704533</v>
          </cell>
          <cell r="N46">
            <v>0.71324812234803325</v>
          </cell>
          <cell r="P46">
            <v>0.89245877185280897</v>
          </cell>
          <cell r="Q46">
            <v>1.6360294540965423</v>
          </cell>
          <cell r="R46">
            <v>0.85306035402004698</v>
          </cell>
          <cell r="S46">
            <v>1.0047243945388611</v>
          </cell>
        </row>
        <row r="47">
          <cell r="L47">
            <v>0.85324232081911267</v>
          </cell>
          <cell r="M47">
            <v>0.87341703412472582</v>
          </cell>
          <cell r="N47">
            <v>0.73104727804789382</v>
          </cell>
          <cell r="P47">
            <v>0.91146609791217315</v>
          </cell>
          <cell r="Q47">
            <v>1.6049745045351309</v>
          </cell>
          <cell r="R47">
            <v>0.89571337172104926</v>
          </cell>
          <cell r="S47">
            <v>0.95504168930018263</v>
          </cell>
        </row>
        <row r="48">
          <cell r="L48">
            <v>0.89387290752478465</v>
          </cell>
          <cell r="M48">
            <v>0.82363823301547312</v>
          </cell>
          <cell r="N48">
            <v>0.74481253610982379</v>
          </cell>
          <cell r="P48">
            <v>0.91945730852757079</v>
          </cell>
          <cell r="Q48">
            <v>1.5651336103167748</v>
          </cell>
          <cell r="R48">
            <v>0.93836638942205164</v>
          </cell>
          <cell r="S48">
            <v>0.90305802121984402</v>
          </cell>
        </row>
        <row r="49">
          <cell r="L49">
            <v>0.93450349423045664</v>
          </cell>
          <cell r="M49">
            <v>0.75575804968467386</v>
          </cell>
          <cell r="N49">
            <v>0.75430185721523724</v>
          </cell>
          <cell r="P49">
            <v>0.91765845391585754</v>
          </cell>
          <cell r="Q49">
            <v>1.5179995114154599</v>
          </cell>
          <cell r="R49">
            <v>0.98101940712305402</v>
          </cell>
          <cell r="S49">
            <v>0.8501311975296495</v>
          </cell>
        </row>
        <row r="50">
          <cell r="L50">
            <v>0.97513408093612874</v>
          </cell>
          <cell r="M50">
            <v>0.71050459413080791</v>
          </cell>
          <cell r="N50">
            <v>0.75934661666068748</v>
          </cell>
          <cell r="P50">
            <v>0.90737563629296736</v>
          </cell>
          <cell r="Q50">
            <v>1.4649742368034453</v>
          </cell>
          <cell r="R50">
            <v>1.0236724248240563</v>
          </cell>
          <cell r="S50">
            <v>0.7973101674337042</v>
          </cell>
        </row>
        <row r="51">
          <cell r="L51">
            <v>1.0360799609946367</v>
          </cell>
          <cell r="M51">
            <v>0.71502993968619444</v>
          </cell>
          <cell r="N51">
            <v>0.75840498024873404</v>
          </cell>
          <cell r="P51">
            <v>0.8788985115560779</v>
          </cell>
          <cell r="Q51">
            <v>1.3771919541328776</v>
          </cell>
          <cell r="R51">
            <v>1.0876519513755598</v>
          </cell>
          <cell r="S51">
            <v>0.71995368826166661</v>
          </cell>
        </row>
        <row r="52">
          <cell r="L52">
            <v>1.0970258410531448</v>
          </cell>
          <cell r="M52">
            <v>0.72860597635235425</v>
          </cell>
          <cell r="N52">
            <v>0.74731695163773437</v>
          </cell>
          <cell r="P52">
            <v>0.83845037344124385</v>
          </cell>
          <cell r="Q52">
            <v>1.2829173498176523</v>
          </cell>
          <cell r="R52">
            <v>1.1516314779270633</v>
          </cell>
          <cell r="S52">
            <v>0.64640985077962476</v>
          </cell>
        </row>
        <row r="53">
          <cell r="L53">
            <v>1.1579717211116529</v>
          </cell>
          <cell r="M53">
            <v>0.66525113857694174</v>
          </cell>
          <cell r="N53">
            <v>0.72652578833633996</v>
          </cell>
          <cell r="P53">
            <v>0.78974080798760116</v>
          </cell>
          <cell r="Q53">
            <v>1.1854167594417293</v>
          </cell>
          <cell r="R53">
            <v>1.2156110044785668</v>
          </cell>
          <cell r="S53">
            <v>0.57775053614975591</v>
          </cell>
        </row>
        <row r="54">
          <cell r="L54">
            <v>1.2189176011701608</v>
          </cell>
          <cell r="M54">
            <v>0.54759215413688977</v>
          </cell>
          <cell r="N54">
            <v>0.69685076077812513</v>
          </cell>
          <cell r="P54">
            <v>0.73590522480483234</v>
          </cell>
          <cell r="Q54">
            <v>1.0873619202631739</v>
          </cell>
          <cell r="R54">
            <v>1.2795905310300704</v>
          </cell>
          <cell r="S54">
            <v>0.51450875100701043</v>
          </cell>
        </row>
        <row r="55">
          <cell r="L55">
            <v>1.2798634812286689</v>
          </cell>
          <cell r="M55">
            <v>0.44803455191838443</v>
          </cell>
          <cell r="N55">
            <v>0.65943359110280275</v>
          </cell>
          <cell r="P55">
            <v>0.67949092333449901</v>
          </cell>
          <cell r="Q55">
            <v>0.9908712906185505</v>
          </cell>
          <cell r="R55">
            <v>1.3435700575815739</v>
          </cell>
          <cell r="S55">
            <v>0.45684896558870081</v>
          </cell>
        </row>
        <row r="56">
          <cell r="L56">
            <v>1.340809361287177</v>
          </cell>
          <cell r="M56">
            <v>0.40278109636451837</v>
          </cell>
          <cell r="N56">
            <v>0.615665612276727</v>
          </cell>
          <cell r="P56">
            <v>0.62249454070775323</v>
          </cell>
          <cell r="Q56">
            <v>0.89756649201149441</v>
          </cell>
          <cell r="R56">
            <v>1.4075495841330774</v>
          </cell>
          <cell r="S56">
            <v>0.40469152585781715</v>
          </cell>
        </row>
        <row r="57">
          <cell r="L57">
            <v>1.4017552413456851</v>
          </cell>
          <cell r="M57">
            <v>0.33037556747833263</v>
          </cell>
          <cell r="N57">
            <v>0.56710212055684184</v>
          </cell>
          <cell r="P57">
            <v>0.56642546965525431</v>
          </cell>
          <cell r="Q57">
            <v>0.80863577476998871</v>
          </cell>
          <cell r="R57">
            <v>1.4715291106845809</v>
          </cell>
          <cell r="S57">
            <v>0.35780192565053115</v>
          </cell>
        </row>
        <row r="58">
          <cell r="L58">
            <v>1.4627011214041929</v>
          </cell>
          <cell r="M58">
            <v>0.30774883970139955</v>
          </cell>
          <cell r="N58">
            <v>0.51537125137138284</v>
          </cell>
          <cell r="P58">
            <v>0.51237899836998124</v>
          </cell>
          <cell r="Q58">
            <v>0.7248988525346024</v>
          </cell>
          <cell r="R58">
            <v>1.5355086372360844</v>
          </cell>
          <cell r="S58">
            <v>0.31585382754701924</v>
          </cell>
        </row>
        <row r="59">
          <cell r="L59">
            <v>1.5845928815212091</v>
          </cell>
          <cell r="M59">
            <v>0.25344469303676026</v>
          </cell>
          <cell r="N59">
            <v>0.40875742481437677</v>
          </cell>
          <cell r="P59">
            <v>0.4130975960105811</v>
          </cell>
          <cell r="Q59">
            <v>0.5748124904742713</v>
          </cell>
          <cell r="R59">
            <v>1.6634676903390915</v>
          </cell>
          <cell r="S59">
            <v>0.24526607269677703</v>
          </cell>
        </row>
        <row r="60">
          <cell r="L60">
            <v>1.7064846416382253</v>
          </cell>
          <cell r="M60">
            <v>0.18556450970596111</v>
          </cell>
          <cell r="N60">
            <v>0.30717176520258638</v>
          </cell>
          <cell r="P60">
            <v>0.32775302821201113</v>
          </cell>
          <cell r="Q60">
            <v>0.44873949703837535</v>
          </cell>
          <cell r="R60">
            <v>1.7914267434420985</v>
          </cell>
          <cell r="S60">
            <v>0.18982397883321905</v>
          </cell>
        </row>
        <row r="61">
          <cell r="L61">
            <v>1.8283764017552413</v>
          </cell>
          <cell r="M61">
            <v>0.14936174526286825</v>
          </cell>
          <cell r="N61">
            <v>0.21870922719987587</v>
          </cell>
          <cell r="P61">
            <v>0.25677141688097838</v>
          </cell>
          <cell r="Q61">
            <v>0.34563537097885721</v>
          </cell>
          <cell r="R61">
            <v>1.9193857965451055</v>
          </cell>
          <cell r="S61">
            <v>0.14660668027837781</v>
          </cell>
        </row>
        <row r="62">
          <cell r="L62">
            <v>1.9502681618722575</v>
          </cell>
          <cell r="M62">
            <v>0.12220967193054863</v>
          </cell>
          <cell r="N62">
            <v>0.14754452280966485</v>
          </cell>
          <cell r="P62">
            <v>0.19913494724760689</v>
          </cell>
          <cell r="Q62">
            <v>0.2631193461924074</v>
          </cell>
          <cell r="R62">
            <v>2.0473448496481126</v>
          </cell>
          <cell r="S62">
            <v>0.11308647844971338</v>
          </cell>
        </row>
        <row r="63">
          <cell r="L63">
            <v>2.0721599219892735</v>
          </cell>
          <cell r="M63">
            <v>9.0532253042842348E-2</v>
          </cell>
          <cell r="N63">
            <v>9.4308155686942285E-2</v>
          </cell>
          <cell r="P63">
            <v>0.15317178948222818</v>
          </cell>
          <cell r="Q63">
            <v>0.19825109215787803</v>
          </cell>
          <cell r="R63">
            <v>2.1753039027511196</v>
          </cell>
          <cell r="S63">
            <v>8.717222806359759E-2</v>
          </cell>
        </row>
        <row r="64">
          <cell r="L64">
            <v>2.1940516821062896</v>
          </cell>
          <cell r="M64">
            <v>6.7905525265909303E-2</v>
          </cell>
          <cell r="N64">
            <v>5.711439554852564E-2</v>
          </cell>
          <cell r="P64">
            <v>0.11702534685027229</v>
          </cell>
          <cell r="Q64">
            <v>0.14801921878518678</v>
          </cell>
          <cell r="R64">
            <v>2.3032629558541267</v>
          </cell>
          <cell r="S64">
            <v>6.7179644631077118E-2</v>
          </cell>
        </row>
        <row r="65">
          <cell r="L65">
            <v>2.3159434422233058</v>
          </cell>
          <cell r="M65">
            <v>5.8854834155136086E-2</v>
          </cell>
          <cell r="N65">
            <v>3.2772690126684427E-2</v>
          </cell>
          <cell r="P65">
            <v>8.8910080130093896E-2</v>
          </cell>
          <cell r="Q65">
            <v>0.10961975066489597</v>
          </cell>
          <cell r="R65">
            <v>2.4312220089571337</v>
          </cell>
          <cell r="S65">
            <v>5.1774822271209602E-2</v>
          </cell>
        </row>
        <row r="66">
          <cell r="L66">
            <v>2.4378352023403216</v>
          </cell>
          <cell r="M66">
            <v>4.980414304436287E-2</v>
          </cell>
          <cell r="N66">
            <v>1.7817582234168166E-2</v>
          </cell>
          <cell r="P66">
            <v>6.7233897277435492E-2</v>
          </cell>
          <cell r="Q66">
            <v>8.0591675401361654E-2</v>
          </cell>
          <cell r="R66">
            <v>2.5591810620601407</v>
          </cell>
          <cell r="S66">
            <v>3.991287996642346E-2</v>
          </cell>
        </row>
        <row r="67">
          <cell r="L67">
            <v>2.5597269624573378</v>
          </cell>
          <cell r="M67">
            <v>3.6228106378203041E-2</v>
          </cell>
          <cell r="N67">
            <v>9.178160027890311E-3</v>
          </cell>
          <cell r="P67">
            <v>5.0641851829552144E-2</v>
          </cell>
          <cell r="Q67">
            <v>5.8861540961773137E-2</v>
          </cell>
          <cell r="R67">
            <v>2.6871401151631478</v>
          </cell>
          <cell r="S67">
            <v>3.078127271614799E-2</v>
          </cell>
        </row>
        <row r="68">
          <cell r="L68">
            <v>2.681618722574354</v>
          </cell>
          <cell r="M68">
            <v>3.170276082281643E-2</v>
          </cell>
          <cell r="N68">
            <v>4.4795320991041117E-3</v>
          </cell>
          <cell r="P68">
            <v>3.801652401860503E-2</v>
          </cell>
          <cell r="Q68">
            <v>4.2734569253137303E-2</v>
          </cell>
          <cell r="R68">
            <v>2.8150991682661548</v>
          </cell>
          <cell r="S68">
            <v>2.3751186307839352E-2</v>
          </cell>
        </row>
        <row r="69">
          <cell r="L69">
            <v>2.8035104826913702</v>
          </cell>
          <cell r="M69">
            <v>2.2652069712043213E-2</v>
          </cell>
          <cell r="N69">
            <v>2.0714757513240023E-3</v>
          </cell>
          <cell r="P69">
            <v>2.8456891611760082E-2</v>
          </cell>
          <cell r="Q69">
            <v>3.0857729543101942E-2</v>
          </cell>
          <cell r="R69">
            <v>2.9430582213691618</v>
          </cell>
          <cell r="S69">
            <v>1.8337547948920698E-2</v>
          </cell>
        </row>
        <row r="70">
          <cell r="L70">
            <v>2.9254022428083859</v>
          </cell>
          <cell r="M70">
            <v>1.8126724156656601E-2</v>
          </cell>
          <cell r="N70">
            <v>9.0760572819259468E-4</v>
          </cell>
          <cell r="P70">
            <v>2.1248516367468932E-2</v>
          </cell>
          <cell r="Q70">
            <v>2.2171074800402948E-2</v>
          </cell>
          <cell r="R70">
            <v>3.0710172744721689</v>
          </cell>
          <cell r="S70">
            <v>1.4166937710165261E-2</v>
          </cell>
        </row>
        <row r="71">
          <cell r="L71">
            <v>2.986348122866894</v>
          </cell>
          <cell r="M71">
            <v>1.3601378601269995E-2</v>
          </cell>
          <cell r="N71">
            <v>5.8873483094110048E-4</v>
          </cell>
          <cell r="P71">
            <v>1.8346052919671039E-2</v>
          </cell>
          <cell r="Q71">
            <v>1.87604592181074E-2</v>
          </cell>
          <cell r="R71">
            <v>3.1349968010236724</v>
          </cell>
          <cell r="S71">
            <v>1.2455249695010254E-2</v>
          </cell>
        </row>
        <row r="72">
          <cell r="L72">
            <v>3.0472940029254021</v>
          </cell>
          <cell r="M72">
            <v>1.3601378601269995E-2</v>
          </cell>
          <cell r="N72">
            <v>3.7677734032396493E-4</v>
          </cell>
          <cell r="P72">
            <v>1.5832171268225725E-2</v>
          </cell>
          <cell r="Q72">
            <v>1.5857116703869512E-2</v>
          </cell>
          <cell r="R72">
            <v>3.1989763275751759</v>
          </cell>
          <cell r="S72">
            <v>1.0952247993033688E-2</v>
          </cell>
        </row>
        <row r="73">
          <cell r="L73">
            <v>3.1082398829839102</v>
          </cell>
          <cell r="M73">
            <v>9.0760330458833811E-3</v>
          </cell>
          <cell r="N73">
            <v>2.3789886230762331E-4</v>
          </cell>
          <cell r="P73">
            <v>1.3656411021282851E-2</v>
          </cell>
          <cell r="Q73">
            <v>1.3388991688235258E-2</v>
          </cell>
          <cell r="R73">
            <v>3.2629558541266794</v>
          </cell>
          <cell r="S73">
            <v>9.6322848171358083E-3</v>
          </cell>
        </row>
        <row r="74">
          <cell r="L74">
            <v>3.1691857630424183</v>
          </cell>
          <cell r="M74">
            <v>9.0760330458833811E-3</v>
          </cell>
          <cell r="N74">
            <v>1.4819805284807823E-4</v>
          </cell>
          <cell r="P74">
            <v>1.1774547304288665E-2</v>
          </cell>
          <cell r="Q74">
            <v>1.1293593888956469E-2</v>
          </cell>
          <cell r="R74">
            <v>3.326935380678183</v>
          </cell>
          <cell r="S74">
            <v>8.4728819011746954E-3</v>
          </cell>
        </row>
        <row r="75">
          <cell r="L75">
            <v>3.2301316431009264</v>
          </cell>
          <cell r="M75">
            <v>4.5506874904967754E-3</v>
          </cell>
          <cell r="N75">
            <v>9.1082548421800506E-5</v>
          </cell>
          <cell r="P75">
            <v>1.0147886714245682E-2</v>
          </cell>
          <cell r="Q75">
            <v>9.5168636166873977E-3</v>
          </cell>
          <cell r="R75">
            <v>3.3909149072296865</v>
          </cell>
          <cell r="S75">
            <v>7.4543387816244575E-3</v>
          </cell>
        </row>
        <row r="76">
          <cell r="L76">
            <v>3.2910775231594345</v>
          </cell>
          <cell r="M76">
            <v>1.3601378601269995E-2</v>
          </cell>
          <cell r="N76">
            <v>5.5229408566254236E-5</v>
          </cell>
          <cell r="P76">
            <v>8.7426281083685803E-3</v>
          </cell>
          <cell r="Q76">
            <v>8.012143311138642E-3</v>
          </cell>
          <cell r="R76">
            <v>3.45489443378119</v>
          </cell>
          <cell r="S76">
            <v>6.5593889570201456E-3</v>
          </cell>
        </row>
        <row r="77">
          <cell r="L77">
            <v>3.3520234032179426</v>
          </cell>
          <cell r="M77">
            <v>1.3601378601269995E-2</v>
          </cell>
          <cell r="N77">
            <v>3.3040617484057994E-5</v>
          </cell>
          <cell r="P77">
            <v>7.5292857897256114E-3</v>
          </cell>
          <cell r="Q77">
            <v>6.739251850793767E-3</v>
          </cell>
          <cell r="R77">
            <v>3.5188739603326935</v>
          </cell>
          <cell r="S77">
            <v>5.7728982759785311E-3</v>
          </cell>
        </row>
        <row r="78">
          <cell r="L78">
            <v>3.4129692832764507</v>
          </cell>
          <cell r="M78">
            <v>4.5506874904967754E-3</v>
          </cell>
          <cell r="N78">
            <v>1.9501519923786944E-5</v>
          </cell>
          <cell r="P78">
            <v>6.4821717024380384E-3</v>
          </cell>
          <cell r="Q78">
            <v>5.6636564546414195E-3</v>
          </cell>
          <cell r="R78">
            <v>3.582853486884197</v>
          </cell>
          <cell r="S78">
            <v>5.0816005104507072E-3</v>
          </cell>
        </row>
        <row r="79">
          <cell r="L79">
            <v>3.4739151633349583</v>
          </cell>
          <cell r="M79">
            <v>2.2652069712043213E-2</v>
          </cell>
          <cell r="N79">
            <v>1.135615496868845E-5</v>
          </cell>
          <cell r="P79">
            <v>5.5789326799654503E-3</v>
          </cell>
          <cell r="Q79">
            <v>4.7557358954545392E-3</v>
          </cell>
          <cell r="R79">
            <v>3.6468330134357005</v>
          </cell>
          <cell r="S79">
            <v>4.4738656292251785E-3</v>
          </cell>
        </row>
        <row r="80">
          <cell r="L80">
            <v>3.5348610433934664</v>
          </cell>
          <cell r="M80">
            <v>2.5341935110166065E-5</v>
          </cell>
          <cell r="N80">
            <v>6.5243417718017831E-6</v>
          </cell>
          <cell r="P80">
            <v>4.800138501782957E-3</v>
          </cell>
          <cell r="Q80">
            <v>3.9901281248755534E-3</v>
          </cell>
          <cell r="R80">
            <v>3.7108125399872041</v>
          </cell>
          <cell r="S80">
            <v>3.9394967958750618E-3</v>
          </cell>
        </row>
        <row r="81">
          <cell r="L81">
            <v>3.5958069234519745</v>
          </cell>
          <cell r="M81">
            <v>0</v>
          </cell>
          <cell r="N81">
            <v>3.6981509934780417E-6</v>
          </cell>
          <cell r="P81">
            <v>4.1289164288267084E-3</v>
          </cell>
          <cell r="Q81">
            <v>3.3451551522874841E-3</v>
          </cell>
          <cell r="R81">
            <v>3.7747920665387076</v>
          </cell>
          <cell r="S81">
            <v>3.4695525758670822E-3</v>
          </cell>
        </row>
      </sheetData>
      <sheetData sheetId="13"/>
      <sheetData sheetId="14"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6.1403508771932375E-5</v>
          </cell>
        </row>
        <row r="17">
          <cell r="E17">
            <v>0.36190350877192978</v>
          </cell>
        </row>
        <row r="18">
          <cell r="E18">
            <v>0.44962280701754381</v>
          </cell>
        </row>
        <row r="19">
          <cell r="E19">
            <v>0.94304385964912274</v>
          </cell>
        </row>
        <row r="20">
          <cell r="E20">
            <v>1.2719912280701753</v>
          </cell>
        </row>
        <row r="21">
          <cell r="E21">
            <v>1.293921052631579</v>
          </cell>
        </row>
        <row r="22">
          <cell r="E22">
            <v>1.4255000000000002</v>
          </cell>
        </row>
        <row r="23">
          <cell r="E23">
            <v>1.4035701754385967</v>
          </cell>
        </row>
        <row r="24">
          <cell r="E24">
            <v>1.3158508771929824</v>
          </cell>
        </row>
        <row r="25">
          <cell r="E25">
            <v>1.5680438596491229</v>
          </cell>
        </row>
        <row r="26">
          <cell r="E26">
            <v>0.80049999999999999</v>
          </cell>
        </row>
        <row r="27">
          <cell r="E27">
            <v>1.2719912280701753</v>
          </cell>
        </row>
        <row r="28">
          <cell r="E28">
            <v>1.1294473684210526</v>
          </cell>
        </row>
        <row r="29">
          <cell r="E29">
            <v>1.8640964912280702</v>
          </cell>
        </row>
        <row r="30">
          <cell r="E30">
            <v>1.9298859649122806</v>
          </cell>
        </row>
        <row r="31">
          <cell r="E31">
            <v>2.4452368421052633</v>
          </cell>
        </row>
        <row r="32">
          <cell r="E32">
            <v>2.7522543859649122</v>
          </cell>
        </row>
        <row r="33">
          <cell r="E33">
            <v>2.4452368421052633</v>
          </cell>
        </row>
        <row r="34">
          <cell r="E34">
            <v>2.412342105263158</v>
          </cell>
        </row>
        <row r="35">
          <cell r="E35">
            <v>2.5658508771929824</v>
          </cell>
        </row>
        <row r="36">
          <cell r="E36">
            <v>2.5439210526315787</v>
          </cell>
        </row>
        <row r="37">
          <cell r="E37">
            <v>2.368482456140351</v>
          </cell>
        </row>
        <row r="38">
          <cell r="E38">
            <v>2.2588333333333335</v>
          </cell>
        </row>
        <row r="39">
          <cell r="E39">
            <v>2.1711140350877192</v>
          </cell>
        </row>
        <row r="40">
          <cell r="E40">
            <v>2.1601491228070175</v>
          </cell>
        </row>
        <row r="41">
          <cell r="E41">
            <v>2.0285701754385967</v>
          </cell>
        </row>
        <row r="42">
          <cell r="E42">
            <v>2.0724298245614037</v>
          </cell>
        </row>
        <row r="43">
          <cell r="E43">
            <v>1.9956754385964914</v>
          </cell>
        </row>
        <row r="44">
          <cell r="E44">
            <v>1.820236842105263</v>
          </cell>
        </row>
        <row r="45">
          <cell r="E45">
            <v>1.7983070175438598</v>
          </cell>
        </row>
        <row r="46">
          <cell r="E46">
            <v>1.7983070175438598</v>
          </cell>
        </row>
        <row r="47">
          <cell r="E47">
            <v>1.6228684210526316</v>
          </cell>
        </row>
        <row r="48">
          <cell r="E48">
            <v>1.5461140350877194</v>
          </cell>
        </row>
        <row r="49">
          <cell r="E49">
            <v>1.4803245614035088</v>
          </cell>
        </row>
        <row r="50">
          <cell r="E50">
            <v>1.3816403508771931</v>
          </cell>
        </row>
        <row r="51">
          <cell r="E51">
            <v>1.3816403508771931</v>
          </cell>
        </row>
        <row r="52">
          <cell r="E52">
            <v>1.2171666666666665</v>
          </cell>
        </row>
        <row r="53">
          <cell r="E53">
            <v>1.1404122807017543</v>
          </cell>
        </row>
        <row r="54">
          <cell r="E54">
            <v>1.063657894736842</v>
          </cell>
        </row>
        <row r="55">
          <cell r="E55">
            <v>0.97593859649122805</v>
          </cell>
        </row>
        <row r="56">
          <cell r="E56">
            <v>0.92111403508771916</v>
          </cell>
        </row>
        <row r="57">
          <cell r="E57">
            <v>0.91014912280701743</v>
          </cell>
        </row>
        <row r="58">
          <cell r="E58">
            <v>0.81146491228070172</v>
          </cell>
        </row>
        <row r="59">
          <cell r="E59">
            <v>0.77857017543859641</v>
          </cell>
        </row>
        <row r="60">
          <cell r="E60">
            <v>0.73471052631578937</v>
          </cell>
        </row>
        <row r="61">
          <cell r="E61">
            <v>0.6798859649122807</v>
          </cell>
        </row>
        <row r="62">
          <cell r="E62">
            <v>0.75664035087719295</v>
          </cell>
        </row>
        <row r="63">
          <cell r="E63">
            <v>0.66892105263157897</v>
          </cell>
        </row>
        <row r="64">
          <cell r="E64">
            <v>0.71278070175438579</v>
          </cell>
        </row>
        <row r="65">
          <cell r="E65">
            <v>0.64699122807017539</v>
          </cell>
        </row>
        <row r="66">
          <cell r="E66">
            <v>0.50444736842105253</v>
          </cell>
        </row>
        <row r="67">
          <cell r="E67">
            <v>0.39479824561403498</v>
          </cell>
        </row>
        <row r="68">
          <cell r="E68">
            <v>0.31804385964912274</v>
          </cell>
        </row>
        <row r="69">
          <cell r="E69">
            <v>0.26321929824561402</v>
          </cell>
        </row>
        <row r="70">
          <cell r="E70">
            <v>0.23032456140350877</v>
          </cell>
        </row>
        <row r="71">
          <cell r="E71">
            <v>0.20839473684210524</v>
          </cell>
        </row>
        <row r="72">
          <cell r="E72">
            <v>0.17549999999999999</v>
          </cell>
        </row>
        <row r="73">
          <cell r="E73">
            <v>0.14260526315789473</v>
          </cell>
        </row>
        <row r="74">
          <cell r="E74">
            <v>0.14260526315789473</v>
          </cell>
        </row>
        <row r="75">
          <cell r="E75">
            <v>9.8745614035087734E-2</v>
          </cell>
        </row>
        <row r="76">
          <cell r="E76">
            <v>7.6815789473684212E-2</v>
          </cell>
        </row>
        <row r="77">
          <cell r="E77">
            <v>4.3921052631578944E-2</v>
          </cell>
        </row>
        <row r="78">
          <cell r="E78">
            <v>3.2956140350877197E-2</v>
          </cell>
        </row>
        <row r="79">
          <cell r="E79">
            <v>2.1991228070175433E-2</v>
          </cell>
        </row>
        <row r="80">
          <cell r="E80">
            <v>1.1026315789473686E-2</v>
          </cell>
        </row>
        <row r="81">
          <cell r="E81">
            <v>1.1026315789473686E-2</v>
          </cell>
        </row>
        <row r="82">
          <cell r="E82">
            <v>6.1403508771932375E-5</v>
          </cell>
        </row>
        <row r="83">
          <cell r="E83">
            <v>6.1403508771932375E-5</v>
          </cell>
        </row>
        <row r="84">
          <cell r="E84">
            <v>6.1403508771932375E-5</v>
          </cell>
        </row>
        <row r="85">
          <cell r="E85">
            <v>0</v>
          </cell>
        </row>
        <row r="86">
          <cell r="E86">
            <v>0</v>
          </cell>
        </row>
        <row r="87">
          <cell r="E87">
            <v>0</v>
          </cell>
        </row>
        <row r="88">
          <cell r="E88">
            <v>0</v>
          </cell>
        </row>
        <row r="89">
          <cell r="E89">
            <v>0</v>
          </cell>
        </row>
      </sheetData>
      <sheetData sheetId="15">
        <row r="12">
          <cell r="D12">
            <v>0</v>
          </cell>
          <cell r="G12">
            <v>0</v>
          </cell>
          <cell r="N12">
            <v>0</v>
          </cell>
          <cell r="O12">
            <v>0</v>
          </cell>
          <cell r="P12">
            <v>0.21534444344397197</v>
          </cell>
          <cell r="S12">
            <v>0</v>
          </cell>
        </row>
        <row r="13">
          <cell r="D13">
            <v>5</v>
          </cell>
          <cell r="G13">
            <v>0</v>
          </cell>
          <cell r="H13">
            <v>9.7518472288823559E-15</v>
          </cell>
          <cell r="N13">
            <v>1.4031542908458212E-2</v>
          </cell>
          <cell r="O13">
            <v>0</v>
          </cell>
          <cell r="P13">
            <v>0.22095622890063926</v>
          </cell>
          <cell r="R13">
            <v>6.1762730654560602E-46</v>
          </cell>
          <cell r="S13">
            <v>8.1761690988058855E-2</v>
          </cell>
        </row>
        <row r="14">
          <cell r="D14">
            <v>10</v>
          </cell>
          <cell r="G14">
            <v>0</v>
          </cell>
          <cell r="H14">
            <v>2.0406156575519537E-6</v>
          </cell>
          <cell r="N14">
            <v>2.8063085816916425E-2</v>
          </cell>
          <cell r="O14">
            <v>0</v>
          </cell>
          <cell r="P14">
            <v>0.22663185419531068</v>
          </cell>
          <cell r="R14">
            <v>1.9033040405104364E-22</v>
          </cell>
          <cell r="S14">
            <v>0.14321929780988157</v>
          </cell>
        </row>
        <row r="15">
          <cell r="D15">
            <v>15</v>
          </cell>
          <cell r="G15">
            <v>6.1403508771932375E-5</v>
          </cell>
          <cell r="H15">
            <v>9.2660875193844856E-4</v>
          </cell>
          <cell r="N15">
            <v>4.2094628725374637E-2</v>
          </cell>
          <cell r="O15">
            <v>1.4696866628035513E-5</v>
          </cell>
          <cell r="P15">
            <v>0.23236878047827506</v>
          </cell>
          <cell r="R15">
            <v>1.161502234942029E-14</v>
          </cell>
          <cell r="S15">
            <v>0.19667200723521844</v>
          </cell>
        </row>
        <row r="16">
          <cell r="D16">
            <v>20</v>
          </cell>
          <cell r="G16">
            <v>0.36190350877192978</v>
          </cell>
          <cell r="H16">
            <v>1.7299101741344986E-2</v>
          </cell>
          <cell r="N16">
            <v>5.612617163383285E-2</v>
          </cell>
          <cell r="O16">
            <v>8.6621232353262273E-2</v>
          </cell>
          <cell r="P16">
            <v>0.23816433647713173</v>
          </cell>
          <cell r="R16">
            <v>8.6034650548100764E-11</v>
          </cell>
          <cell r="S16">
            <v>0.2444575253647972</v>
          </cell>
        </row>
        <row r="17">
          <cell r="D17">
            <v>25</v>
          </cell>
          <cell r="G17">
            <v>0.44962280701754381</v>
          </cell>
          <cell r="H17">
            <v>9.2490913453818199E-2</v>
          </cell>
          <cell r="N17">
            <v>7.0157714542291069E-2</v>
          </cell>
          <cell r="O17">
            <v>0.10761675610759786</v>
          </cell>
          <cell r="P17">
            <v>0.24401571907723171</v>
          </cell>
          <cell r="R17">
            <v>1.7448865427473212E-8</v>
          </cell>
          <cell r="S17">
            <v>0.28770616555778183</v>
          </cell>
        </row>
        <row r="18">
          <cell r="D18">
            <v>30</v>
          </cell>
          <cell r="G18">
            <v>0.94304385964912274</v>
          </cell>
          <cell r="H18">
            <v>0.26805281501257749</v>
          </cell>
          <cell r="N18">
            <v>8.4189257450749275E-2</v>
          </cell>
          <cell r="O18">
            <v>0.22571657722573546</v>
          </cell>
          <cell r="P18">
            <v>0.24991999415925709</v>
          </cell>
          <cell r="R18">
            <v>5.8808271182729665E-7</v>
          </cell>
          <cell r="S18">
            <v>0.32711059956389493</v>
          </cell>
        </row>
        <row r="19">
          <cell r="D19">
            <v>35</v>
          </cell>
          <cell r="G19">
            <v>1.2719912280701753</v>
          </cell>
          <cell r="H19">
            <v>0.55147196530339637</v>
          </cell>
          <cell r="N19">
            <v>9.8220800359207494E-2</v>
          </cell>
          <cell r="O19">
            <v>0.30444979130449384</v>
          </cell>
          <cell r="P19">
            <v>0.25587409769850211</v>
          </cell>
          <cell r="R19">
            <v>7.124873685379355E-6</v>
          </cell>
          <cell r="S19">
            <v>0.36315204289317365</v>
          </cell>
        </row>
        <row r="20">
          <cell r="D20">
            <v>40</v>
          </cell>
          <cell r="G20">
            <v>1.293921052631579</v>
          </cell>
          <cell r="H20">
            <v>0.91997827067205085</v>
          </cell>
          <cell r="N20">
            <v>0.1122523432676657</v>
          </cell>
          <cell r="O20">
            <v>0.30969867224307779</v>
          </cell>
          <cell r="P20">
            <v>0.26187483712985837</v>
          </cell>
          <cell r="R20">
            <v>4.5610233005178966E-5</v>
          </cell>
          <cell r="S20">
            <v>0.39619197433257713</v>
          </cell>
        </row>
        <row r="21">
          <cell r="D21">
            <v>45</v>
          </cell>
          <cell r="G21">
            <v>1.4255000000000002</v>
          </cell>
          <cell r="H21">
            <v>1.3385564860426633</v>
          </cell>
          <cell r="N21">
            <v>0.12628388617612391</v>
          </cell>
          <cell r="O21">
            <v>0.34119195787458118</v>
          </cell>
          <cell r="P21">
            <v>0.26791889298192073</v>
          </cell>
          <cell r="R21">
            <v>1.9102040156512967E-4</v>
          </cell>
          <cell r="S21">
            <v>0.42651667887594402</v>
          </cell>
        </row>
        <row r="22">
          <cell r="D22">
            <v>50</v>
          </cell>
          <cell r="G22">
            <v>1.4035701754385967</v>
          </cell>
          <cell r="H22">
            <v>1.7734971300150819</v>
          </cell>
          <cell r="N22">
            <v>0.14031542908458214</v>
          </cell>
          <cell r="O22">
            <v>0.33594307693599729</v>
          </cell>
          <cell r="P22">
            <v>0.27400282078301774</v>
          </cell>
          <cell r="R22">
            <v>5.948583645089356E-4</v>
          </cell>
          <cell r="S22">
            <v>0.45436160758763083</v>
          </cell>
        </row>
        <row r="23">
          <cell r="D23">
            <v>55</v>
          </cell>
          <cell r="G23">
            <v>1.3158508771929824</v>
          </cell>
          <cell r="H23">
            <v>2.1984226960612787</v>
          </cell>
          <cell r="N23">
            <v>0.15434697199304034</v>
          </cell>
          <cell r="O23">
            <v>0.31494755318166168</v>
          </cell>
          <cell r="P23">
            <v>0.28012305324134013</v>
          </cell>
          <cell r="R23">
            <v>1.4941006686064061E-3</v>
          </cell>
          <cell r="S23">
            <v>0.47992588477557674</v>
          </cell>
        </row>
        <row r="24">
          <cell r="D24">
            <v>60</v>
          </cell>
          <cell r="G24">
            <v>1.5680438596491229</v>
          </cell>
          <cell r="H24">
            <v>2.5953915095876154</v>
          </cell>
          <cell r="N24">
            <v>0.16837851490149855</v>
          </cell>
          <cell r="O24">
            <v>0.37530968397537645</v>
          </cell>
          <cell r="P24">
            <v>0.28627590270068309</v>
          </cell>
          <cell r="R24">
            <v>3.1951095906148394E-3</v>
          </cell>
          <cell r="S24">
            <v>0.50338152418419713</v>
          </cell>
        </row>
        <row r="25">
          <cell r="D25">
            <v>70</v>
          </cell>
          <cell r="G25">
            <v>0.80049999999999999</v>
          </cell>
          <cell r="H25">
            <v>3.2684511099096571</v>
          </cell>
          <cell r="N25">
            <v>0.19644160071841499</v>
          </cell>
          <cell r="O25">
            <v>0.19159885112494016</v>
          </cell>
          <cell r="P25">
            <v>0.29866411684543775</v>
          </cell>
          <cell r="R25">
            <v>1.0362160811442277E-2</v>
          </cell>
          <cell r="S25">
            <v>0.54455448815799357</v>
          </cell>
        </row>
        <row r="26">
          <cell r="D26">
            <v>80</v>
          </cell>
          <cell r="G26">
            <v>1.2719912280701753</v>
          </cell>
          <cell r="H26">
            <v>3.7642006917185244</v>
          </cell>
          <cell r="N26">
            <v>0.2245046865353314</v>
          </cell>
          <cell r="O26">
            <v>0.30444979130449384</v>
          </cell>
          <cell r="P26">
            <v>0.31113566541332394</v>
          </cell>
          <cell r="R26">
            <v>2.4554256593496696E-2</v>
          </cell>
          <cell r="S26">
            <v>0.57890689180693289</v>
          </cell>
        </row>
        <row r="27">
          <cell r="D27">
            <v>90</v>
          </cell>
          <cell r="G27">
            <v>1.1294473684210526</v>
          </cell>
          <cell r="H27">
            <v>4.0967137271039249</v>
          </cell>
          <cell r="N27">
            <v>0.25256777235224781</v>
          </cell>
          <cell r="O27">
            <v>0.27033206520369857</v>
          </cell>
          <cell r="P27">
            <v>0.32365702831926652</v>
          </cell>
          <cell r="R27">
            <v>4.7247548417393453E-2</v>
          </cell>
          <cell r="S27">
            <v>0.60728039476373208</v>
          </cell>
        </row>
        <row r="28">
          <cell r="D28">
            <v>100</v>
          </cell>
          <cell r="G28">
            <v>1.8640964912280702</v>
          </cell>
          <cell r="H28">
            <v>4.2944946395356434</v>
          </cell>
          <cell r="N28">
            <v>0.28063085816916428</v>
          </cell>
          <cell r="O28">
            <v>0.446169576646259</v>
          </cell>
          <cell r="P28">
            <v>0.33619309010337739</v>
          </cell>
          <cell r="R28">
            <v>7.8639130625539608E-2</v>
          </cell>
          <cell r="S28">
            <v>0.63038383094434614</v>
          </cell>
        </row>
        <row r="29">
          <cell r="D29">
            <v>110</v>
          </cell>
          <cell r="G29">
            <v>1.9298859649122806</v>
          </cell>
          <cell r="H29">
            <v>4.3873832997369355</v>
          </cell>
          <cell r="N29">
            <v>0.30869394398608069</v>
          </cell>
          <cell r="O29">
            <v>0.46191621946201067</v>
          </cell>
          <cell r="P29">
            <v>0.34870728385669009</v>
          </cell>
          <cell r="R29">
            <v>0.11784348135163009</v>
          </cell>
          <cell r="S29">
            <v>0.64882534712361806</v>
          </cell>
        </row>
        <row r="30">
          <cell r="D30">
            <v>120</v>
          </cell>
          <cell r="G30">
            <v>2.4452368421052633</v>
          </cell>
          <cell r="H30">
            <v>4.4015705739756861</v>
          </cell>
          <cell r="N30">
            <v>0.3367570298029971</v>
          </cell>
          <cell r="O30">
            <v>0.58526492151873222</v>
          </cell>
          <cell r="P30">
            <v>0.36116175157199248</v>
          </cell>
          <cell r="R30">
            <v>0.16328386101774472</v>
          </cell>
          <cell r="S30">
            <v>0.6631337027199059</v>
          </cell>
        </row>
        <row r="31">
          <cell r="D31">
            <v>135</v>
          </cell>
          <cell r="G31">
            <v>2.7522543859649122</v>
          </cell>
          <cell r="H31">
            <v>4.3205335968979055</v>
          </cell>
          <cell r="N31">
            <v>0.37885165852837177</v>
          </cell>
          <cell r="O31">
            <v>0.65874925465890677</v>
          </cell>
          <cell r="P31">
            <v>0.37964595485059133</v>
          </cell>
          <cell r="R31">
            <v>0.23900081149528676</v>
          </cell>
          <cell r="S31">
            <v>0.67784724856886969</v>
          </cell>
        </row>
        <row r="32">
          <cell r="D32">
            <v>150</v>
          </cell>
          <cell r="G32">
            <v>2.4452368421052633</v>
          </cell>
          <cell r="H32">
            <v>4.1620473829707194</v>
          </cell>
          <cell r="N32">
            <v>0.42094628725374639</v>
          </cell>
          <cell r="O32">
            <v>0.58526492151873222</v>
          </cell>
          <cell r="P32">
            <v>0.39777264912719212</v>
          </cell>
          <cell r="R32">
            <v>0.31824331226986319</v>
          </cell>
          <cell r="S32">
            <v>0.68564267059387629</v>
          </cell>
        </row>
        <row r="33">
          <cell r="D33">
            <v>165</v>
          </cell>
          <cell r="G33">
            <v>2.412342105263158</v>
          </cell>
          <cell r="H33">
            <v>3.9609901857384848</v>
          </cell>
          <cell r="N33">
            <v>0.463040915979121</v>
          </cell>
          <cell r="O33">
            <v>0.57739160011085644</v>
          </cell>
          <cell r="P33">
            <v>0.41540352095326805</v>
          </cell>
          <cell r="R33">
            <v>0.39577797390935443</v>
          </cell>
          <cell r="S33">
            <v>0.68765527096136292</v>
          </cell>
        </row>
        <row r="34">
          <cell r="D34">
            <v>180</v>
          </cell>
          <cell r="G34">
            <v>2.5658508771929824</v>
          </cell>
          <cell r="H34">
            <v>3.739741875484663</v>
          </cell>
          <cell r="N34">
            <v>0.50513554470449562</v>
          </cell>
          <cell r="O34">
            <v>0.61413376668094366</v>
          </cell>
          <cell r="P34">
            <v>0.43239886327284138</v>
          </cell>
          <cell r="R34">
            <v>0.46779818711134497</v>
          </cell>
          <cell r="S34">
            <v>0.68484811564604187</v>
          </cell>
        </row>
        <row r="35">
          <cell r="D35">
            <v>195</v>
          </cell>
          <cell r="G35">
            <v>2.5439210526315787</v>
          </cell>
          <cell r="H35">
            <v>3.5123669703716307</v>
          </cell>
          <cell r="N35">
            <v>0.54723017342987035</v>
          </cell>
          <cell r="O35">
            <v>0.60888488574235966</v>
          </cell>
          <cell r="P35">
            <v>0.44861937765012788</v>
          </cell>
          <cell r="R35">
            <v>0.53186778719958094</v>
          </cell>
          <cell r="S35">
            <v>0.67804274085695071</v>
          </cell>
        </row>
        <row r="36">
          <cell r="D36">
            <v>210</v>
          </cell>
          <cell r="G36">
            <v>2.368482456140351</v>
          </cell>
          <cell r="H36">
            <v>3.2875038161806756</v>
          </cell>
          <cell r="N36">
            <v>0.58932480215524496</v>
          </cell>
          <cell r="O36">
            <v>0.56689383823368866</v>
          </cell>
          <cell r="P36">
            <v>0.46392804639066704</v>
          </cell>
          <cell r="R36">
            <v>0.5866783511115794</v>
          </cell>
          <cell r="S36">
            <v>0.66794256327247969</v>
          </cell>
        </row>
        <row r="37">
          <cell r="D37">
            <v>225</v>
          </cell>
          <cell r="G37">
            <v>2.2588333333333335</v>
          </cell>
          <cell r="H37">
            <v>3.0702831455994639</v>
          </cell>
          <cell r="N37">
            <v>0.63141943088061958</v>
          </cell>
          <cell r="O37">
            <v>0.54064943354076911</v>
          </cell>
          <cell r="P37">
            <v>0.47819204004751681</v>
          </cell>
          <cell r="R37">
            <v>0.6317673468450854</v>
          </cell>
          <cell r="S37">
            <v>0.65515127370420245</v>
          </cell>
        </row>
        <row r="38">
          <cell r="D38">
            <v>240</v>
          </cell>
          <cell r="G38">
            <v>2.1711140350877192</v>
          </cell>
          <cell r="H38">
            <v>2.8635820696622556</v>
          </cell>
          <cell r="N38">
            <v>0.6735140596059942</v>
          </cell>
          <cell r="O38">
            <v>0.51965390978643355</v>
          </cell>
          <cell r="P38">
            <v>0.49128462363081388</v>
          </cell>
          <cell r="R38">
            <v>0.66726319333456852</v>
          </cell>
          <cell r="S38">
            <v>0.64018763292718983</v>
          </cell>
        </row>
        <row r="39">
          <cell r="D39">
            <v>255</v>
          </cell>
          <cell r="G39">
            <v>2.1601491228070175</v>
          </cell>
          <cell r="H39">
            <v>2.668839189420344</v>
          </cell>
          <cell r="N39">
            <v>0.71560868833136881</v>
          </cell>
          <cell r="O39">
            <v>0.51702946931714155</v>
          </cell>
          <cell r="P39">
            <v>0.50308702355782553</v>
          </cell>
          <cell r="R39">
            <v>0.6936793281108472</v>
          </cell>
          <cell r="S39">
            <v>0.6234975952546189</v>
          </cell>
        </row>
        <row r="40">
          <cell r="D40">
            <v>270</v>
          </cell>
          <cell r="G40">
            <v>2.0285701754385967</v>
          </cell>
          <cell r="H40">
            <v>2.486583901738245</v>
          </cell>
          <cell r="N40">
            <v>0.75770331705674354</v>
          </cell>
          <cell r="O40">
            <v>0.48553618368563828</v>
          </cell>
          <cell r="P40">
            <v>0.51349021706159725</v>
          </cell>
          <cell r="R40">
            <v>0.71175866035316981</v>
          </cell>
          <cell r="S40">
            <v>0.60546438864378205</v>
          </cell>
        </row>
        <row r="41">
          <cell r="D41">
            <v>285</v>
          </cell>
          <cell r="G41">
            <v>2.0724298245614037</v>
          </cell>
          <cell r="H41">
            <v>2.3167802976371714</v>
          </cell>
          <cell r="N41">
            <v>0.79979794578211816</v>
          </cell>
          <cell r="O41">
            <v>0.49603394556280606</v>
          </cell>
          <cell r="P41">
            <v>0.52239660646006858</v>
          </cell>
          <cell r="R41">
            <v>0.72236158255388749</v>
          </cell>
          <cell r="S41">
            <v>0.58641699375354905</v>
          </cell>
        </row>
        <row r="42">
          <cell r="D42">
            <v>300</v>
          </cell>
          <cell r="G42">
            <v>1.9956754385964914</v>
          </cell>
          <cell r="H42">
            <v>2.1590506620097152</v>
          </cell>
          <cell r="N42">
            <v>0.84189257450749277</v>
          </cell>
          <cell r="O42">
            <v>0.47766286227776245</v>
          </cell>
          <cell r="P42">
            <v>0.52972154238282865</v>
          </cell>
          <cell r="R42">
            <v>0.72638857828534842</v>
          </cell>
          <cell r="S42">
            <v>0.56663734291599477</v>
          </cell>
        </row>
        <row r="43">
          <cell r="D43">
            <v>320</v>
          </cell>
          <cell r="G43">
            <v>1.820236842105263</v>
          </cell>
          <cell r="H43">
            <v>1.9665172052637601</v>
          </cell>
          <cell r="N43">
            <v>0.8980187461413256</v>
          </cell>
          <cell r="O43">
            <v>0.43567181476909123</v>
          </cell>
          <cell r="P43">
            <v>0.53690867290109334</v>
          </cell>
          <cell r="R43">
            <v>0.72305990736125414</v>
          </cell>
          <cell r="S43">
            <v>0.53953680854871344</v>
          </cell>
        </row>
        <row r="44">
          <cell r="D44">
            <v>340</v>
          </cell>
          <cell r="G44">
            <v>1.7983070175438598</v>
          </cell>
          <cell r="H44">
            <v>1.7927975974300867</v>
          </cell>
          <cell r="N44">
            <v>0.95414491777515842</v>
          </cell>
          <cell r="O44">
            <v>0.43042293383050739</v>
          </cell>
          <cell r="P44">
            <v>0.54103727304645999</v>
          </cell>
          <cell r="R44">
            <v>0.71159554495395294</v>
          </cell>
          <cell r="S44">
            <v>0.51203397312034971</v>
          </cell>
        </row>
        <row r="45">
          <cell r="D45">
            <v>360</v>
          </cell>
          <cell r="G45">
            <v>1.7983070175438598</v>
          </cell>
          <cell r="H45">
            <v>1.6361768193152471</v>
          </cell>
          <cell r="N45">
            <v>1.0102710894089912</v>
          </cell>
          <cell r="O45">
            <v>0.43042293383050739</v>
          </cell>
          <cell r="P45">
            <v>0.54203575235044432</v>
          </cell>
          <cell r="R45">
            <v>0.6937686124001593</v>
          </cell>
          <cell r="S45">
            <v>0.48451005529855196</v>
          </cell>
        </row>
        <row r="46">
          <cell r="D46">
            <v>380</v>
          </cell>
          <cell r="G46">
            <v>1.6228684210526316</v>
          </cell>
          <cell r="H46">
            <v>1.4949732057137093</v>
          </cell>
          <cell r="N46">
            <v>1.0663972610428241</v>
          </cell>
          <cell r="O46">
            <v>0.38843188632183623</v>
          </cell>
          <cell r="P46">
            <v>0.53988674217620036</v>
          </cell>
          <cell r="R46">
            <v>0.67111939574500823</v>
          </cell>
          <cell r="S46">
            <v>0.45726812953461893</v>
          </cell>
        </row>
        <row r="47">
          <cell r="D47">
            <v>400</v>
          </cell>
          <cell r="G47">
            <v>1.5461140350877194</v>
          </cell>
          <cell r="H47">
            <v>1.3676045329007274</v>
          </cell>
          <cell r="N47">
            <v>1.1225234326766571</v>
          </cell>
          <cell r="O47">
            <v>0.37006080303679256</v>
          </cell>
          <cell r="P47">
            <v>0.53462759829358086</v>
          </cell>
          <cell r="R47">
            <v>0.64495569926951113</v>
          </cell>
          <cell r="S47">
            <v>0.43054621347368432</v>
          </cell>
        </row>
        <row r="48">
          <cell r="D48">
            <v>420</v>
          </cell>
          <cell r="G48">
            <v>1.4803245614035088</v>
          </cell>
          <cell r="H48">
            <v>1.2526175599759857</v>
          </cell>
          <cell r="N48">
            <v>1.1786496043104899</v>
          </cell>
          <cell r="O48">
            <v>0.3543141602210409</v>
          </cell>
          <cell r="P48">
            <v>0.52634932072457841</v>
          </cell>
          <cell r="R48">
            <v>0.61636794176073506</v>
          </cell>
          <cell r="S48">
            <v>0.40452821988697624</v>
          </cell>
        </row>
        <row r="49">
          <cell r="D49">
            <v>440</v>
          </cell>
          <cell r="G49">
            <v>1.3816403508771931</v>
          </cell>
          <cell r="H49">
            <v>1.1486970348688856</v>
          </cell>
          <cell r="N49">
            <v>1.2347757759443228</v>
          </cell>
          <cell r="O49">
            <v>0.3306941959974134</v>
          </cell>
          <cell r="P49">
            <v>0.51519393450101847</v>
          </cell>
          <cell r="R49">
            <v>0.58625125178436721</v>
          </cell>
          <cell r="S49">
            <v>0.37935314744935805</v>
          </cell>
        </row>
        <row r="50">
          <cell r="D50">
            <v>460</v>
          </cell>
          <cell r="G50">
            <v>1.3816403508771931</v>
          </cell>
          <cell r="H50">
            <v>1.0546634910149353</v>
          </cell>
          <cell r="N50">
            <v>1.2909019475781556</v>
          </cell>
          <cell r="O50">
            <v>0.3306941959974134</v>
          </cell>
          <cell r="P50">
            <v>0.50135043667560153</v>
          </cell>
          <cell r="R50">
            <v>0.55532995107707295</v>
          </cell>
          <cell r="S50">
            <v>0.35512280866778456</v>
          </cell>
        </row>
        <row r="51">
          <cell r="D51">
            <v>480</v>
          </cell>
          <cell r="G51">
            <v>1.2171666666666665</v>
          </cell>
          <cell r="H51">
            <v>0.96946526427627344</v>
          </cell>
          <cell r="N51">
            <v>1.3470281192119884</v>
          </cell>
          <cell r="O51">
            <v>0.29132758895803412</v>
          </cell>
          <cell r="P51">
            <v>0.48504947119004627</v>
          </cell>
          <cell r="R51">
            <v>0.52418179905523354</v>
          </cell>
          <cell r="S51">
            <v>0.33190833582025708</v>
          </cell>
        </row>
        <row r="52">
          <cell r="D52">
            <v>510</v>
          </cell>
          <cell r="G52">
            <v>1.1404122807017543</v>
          </cell>
          <cell r="H52">
            <v>0.85621917870571385</v>
          </cell>
          <cell r="N52">
            <v>1.4312173766627376</v>
          </cell>
          <cell r="O52">
            <v>0.27295650567299051</v>
          </cell>
          <cell r="P52">
            <v>0.45657981516091811</v>
          </cell>
          <cell r="R52">
            <v>0.47799808631743668</v>
          </cell>
          <cell r="S52">
            <v>0.29908611387831729</v>
          </cell>
        </row>
        <row r="53">
          <cell r="D53">
            <v>540</v>
          </cell>
          <cell r="G53">
            <v>1.063657894736842</v>
          </cell>
          <cell r="H53">
            <v>0.7580548593749622</v>
          </cell>
          <cell r="N53">
            <v>1.5154066341134871</v>
          </cell>
          <cell r="O53">
            <v>0.25458542238794685</v>
          </cell>
          <cell r="P53">
            <v>0.42419333373935841</v>
          </cell>
          <cell r="R53">
            <v>0.43341399415164827</v>
          </cell>
          <cell r="S53">
            <v>0.26872041347251346</v>
          </cell>
        </row>
        <row r="54">
          <cell r="D54">
            <v>570</v>
          </cell>
          <cell r="G54">
            <v>0.97593859649122805</v>
          </cell>
          <cell r="H54">
            <v>0.67270351592263167</v>
          </cell>
          <cell r="N54">
            <v>1.5995958915642363</v>
          </cell>
          <cell r="O54">
            <v>0.23358989863361132</v>
          </cell>
          <cell r="P54">
            <v>0.38898014090137056</v>
          </cell>
          <cell r="R54">
            <v>0.39114633037703483</v>
          </cell>
          <cell r="S54">
            <v>0.2408070454967183</v>
          </cell>
        </row>
        <row r="55">
          <cell r="D55">
            <v>600</v>
          </cell>
          <cell r="G55">
            <v>0.92111403508771916</v>
          </cell>
          <cell r="H55">
            <v>0.59827162999667338</v>
          </cell>
          <cell r="N55">
            <v>1.6837851490149855</v>
          </cell>
          <cell r="O55">
            <v>0.22046769628715154</v>
          </cell>
          <cell r="P55">
            <v>0.35205253686205706</v>
          </cell>
          <cell r="R55">
            <v>0.35161954571859649</v>
          </cell>
          <cell r="S55">
            <v>0.21528730532713114</v>
          </cell>
        </row>
        <row r="56">
          <cell r="D56">
            <v>630</v>
          </cell>
          <cell r="G56">
            <v>0.91014912280701743</v>
          </cell>
          <cell r="H56">
            <v>0.53317596385981059</v>
          </cell>
          <cell r="N56">
            <v>1.7679744064657348</v>
          </cell>
          <cell r="O56">
            <v>0.2178432558178596</v>
          </cell>
          <cell r="P56">
            <v>0.31448793278889409</v>
          </cell>
          <cell r="R56">
            <v>0.31504649195718692</v>
          </cell>
          <cell r="S56">
            <v>0.19206483736657137</v>
          </cell>
        </row>
        <row r="57">
          <cell r="D57">
            <v>660</v>
          </cell>
          <cell r="G57">
            <v>0.81146491228070172</v>
          </cell>
          <cell r="H57">
            <v>0.47608924025274707</v>
          </cell>
          <cell r="N57">
            <v>1.852163663916484</v>
          </cell>
          <cell r="O57">
            <v>0.1942232915942321</v>
          </cell>
          <cell r="P57">
            <v>0.27727898283661395</v>
          </cell>
          <cell r="R57">
            <v>0.28149001577295374</v>
          </cell>
          <cell r="S57">
            <v>0.17101851178366148</v>
          </cell>
        </row>
        <row r="58">
          <cell r="D58">
            <v>690</v>
          </cell>
          <cell r="G58">
            <v>0.77857017543859641</v>
          </cell>
          <cell r="H58">
            <v>0.42589534262092316</v>
          </cell>
          <cell r="N58">
            <v>1.9363529213672335</v>
          </cell>
          <cell r="O58">
            <v>0.18634997018635624</v>
          </cell>
          <cell r="P58">
            <v>0.24129391917039988</v>
          </cell>
          <cell r="R58">
            <v>0.25090930268475203</v>
          </cell>
          <cell r="S58">
            <v>0.1520121808519819</v>
          </cell>
        </row>
        <row r="59">
          <cell r="D59">
            <v>720</v>
          </cell>
          <cell r="G59">
            <v>0.73471052631578937</v>
          </cell>
          <cell r="H59">
            <v>0.38165261482195861</v>
          </cell>
          <cell r="N59">
            <v>2.0205421788179825</v>
          </cell>
          <cell r="O59">
            <v>0.17585220830918846</v>
          </cell>
          <cell r="P59">
            <v>0.207248913009205</v>
          </cell>
          <cell r="R59">
            <v>0.22319433814750933</v>
          </cell>
          <cell r="S59">
            <v>0.13490199561551985</v>
          </cell>
        </row>
        <row r="60">
          <cell r="D60">
            <v>750</v>
          </cell>
          <cell r="G60">
            <v>0.6798859649122807</v>
          </cell>
          <cell r="H60">
            <v>0.34256388080760747</v>
          </cell>
          <cell r="N60">
            <v>2.1047314362687319</v>
          </cell>
          <cell r="O60">
            <v>0.16273000596272874</v>
          </cell>
          <cell r="P60">
            <v>0.1756930589063333</v>
          </cell>
          <cell r="R60">
            <v>0.19819124144061143</v>
          </cell>
          <cell r="S60">
            <v>0.11954181874167205</v>
          </cell>
        </row>
        <row r="61">
          <cell r="D61">
            <v>780</v>
          </cell>
          <cell r="G61">
            <v>0.75664035087719295</v>
          </cell>
          <cell r="H61">
            <v>0.30795196421780824</v>
          </cell>
          <cell r="N61">
            <v>2.1889206937194814</v>
          </cell>
          <cell r="O61">
            <v>0.18110108924777238</v>
          </cell>
          <cell r="P61">
            <v>0.14700543981411338</v>
          </cell>
          <cell r="R61">
            <v>0.17572066254789181</v>
          </cell>
          <cell r="S61">
            <v>0.10578715619183621</v>
          </cell>
        </row>
        <row r="62">
          <cell r="D62">
            <v>810</v>
          </cell>
          <cell r="G62">
            <v>0.66892105263157897</v>
          </cell>
          <cell r="H62">
            <v>0.2772396771267695</v>
          </cell>
          <cell r="N62">
            <v>2.2731099511702304</v>
          </cell>
          <cell r="O62">
            <v>0.1601055654934368</v>
          </cell>
          <cell r="P62">
            <v>0.12140278959993302</v>
          </cell>
          <cell r="R62">
            <v>0.15559095088821084</v>
          </cell>
          <cell r="S62">
            <v>9.3497941342862489E-2</v>
          </cell>
        </row>
        <row r="63">
          <cell r="D63">
            <v>840</v>
          </cell>
          <cell r="G63">
            <v>0.71278070175438579</v>
          </cell>
          <cell r="H63">
            <v>0.24993342839806282</v>
          </cell>
          <cell r="N63">
            <v>2.3572992086209799</v>
          </cell>
          <cell r="O63">
            <v>0.17060332737060455</v>
          </cell>
          <cell r="P63">
            <v>9.8955602007859716E-2</v>
          </cell>
          <cell r="R63">
            <v>0.13760741279266955</v>
          </cell>
          <cell r="S63">
            <v>8.2540434950427385E-2</v>
          </cell>
        </row>
        <row r="64">
          <cell r="D64">
            <v>900</v>
          </cell>
          <cell r="G64">
            <v>0.64699122807017539</v>
          </cell>
          <cell r="H64">
            <v>0.20390426155456251</v>
          </cell>
          <cell r="N64">
            <v>2.5256777235224783</v>
          </cell>
          <cell r="O64">
            <v>0.15485668455485291</v>
          </cell>
          <cell r="P64">
            <v>6.3213989481140431E-2</v>
          </cell>
          <cell r="R64">
            <v>0.1073208389760834</v>
          </cell>
          <cell r="S64">
            <v>6.4124056253446624E-2</v>
          </cell>
        </row>
        <row r="65">
          <cell r="D65">
            <v>960</v>
          </cell>
          <cell r="G65">
            <v>0.50444736842105253</v>
          </cell>
          <cell r="H65">
            <v>0.16713189273468249</v>
          </cell>
          <cell r="N65">
            <v>2.6940562384239768</v>
          </cell>
          <cell r="O65">
            <v>0.12073895845405758</v>
          </cell>
          <cell r="P65">
            <v>3.8322324991713341E-2</v>
          </cell>
          <cell r="R65">
            <v>8.3434841706793744E-2</v>
          </cell>
          <cell r="S65">
            <v>4.9629333119368554E-2</v>
          </cell>
        </row>
        <row r="66">
          <cell r="D66">
            <v>1020</v>
          </cell>
          <cell r="G66">
            <v>0.39479824561403498</v>
          </cell>
          <cell r="H66">
            <v>0.13757040313778959</v>
          </cell>
          <cell r="N66">
            <v>2.8624347533254753</v>
          </cell>
          <cell r="O66">
            <v>9.4494553761138106E-2</v>
          </cell>
          <cell r="P66">
            <v>2.2047346848558594E-2</v>
          </cell>
          <cell r="R66">
            <v>6.4703630598615086E-2</v>
          </cell>
          <cell r="S66">
            <v>3.8284035002612654E-2</v>
          </cell>
        </row>
        <row r="67">
          <cell r="D67">
            <v>1080</v>
          </cell>
          <cell r="G67">
            <v>0.31804385964912274</v>
          </cell>
          <cell r="H67">
            <v>0.11367139706407481</v>
          </cell>
          <cell r="N67">
            <v>3.0308132682269742</v>
          </cell>
          <cell r="O67">
            <v>7.6123470476094482E-2</v>
          </cell>
          <cell r="P67">
            <v>1.2037232651146788E-2</v>
          </cell>
          <cell r="R67">
            <v>5.007863332425283E-2</v>
          </cell>
          <cell r="S67">
            <v>2.9445795314752561E-2</v>
          </cell>
        </row>
        <row r="68">
          <cell r="D68">
            <v>1140</v>
          </cell>
          <cell r="G68">
            <v>0.26321929824561402</v>
          </cell>
          <cell r="H68">
            <v>9.4251428187556913E-2</v>
          </cell>
          <cell r="N68">
            <v>3.1991917831284726</v>
          </cell>
          <cell r="O68">
            <v>6.300126812963476E-2</v>
          </cell>
          <cell r="P68">
            <v>6.2368142489393928E-3</v>
          </cell>
          <cell r="R68">
            <v>3.8698282217142804E-2</v>
          </cell>
          <cell r="S68">
            <v>2.2588791360914129E-2</v>
          </cell>
        </row>
        <row r="69">
          <cell r="D69">
            <v>1200</v>
          </cell>
          <cell r="G69">
            <v>0.23032456140350877</v>
          </cell>
          <cell r="H69">
            <v>7.8397828355977653E-2</v>
          </cell>
          <cell r="N69">
            <v>3.3675702980299711</v>
          </cell>
          <cell r="O69">
            <v>5.5127946721758921E-2</v>
          </cell>
          <cell r="P69">
            <v>3.0666541493404066E-3</v>
          </cell>
          <cell r="R69">
            <v>2.9866256528468214E-2</v>
          </cell>
          <cell r="S69">
            <v>1.7287946175383213E-2</v>
          </cell>
        </row>
        <row r="70">
          <cell r="D70">
            <v>1260</v>
          </cell>
          <cell r="G70">
            <v>0.20839473684210524</v>
          </cell>
          <cell r="H70">
            <v>6.5400966816167874E-2</v>
          </cell>
          <cell r="N70">
            <v>3.5359488129314696</v>
          </cell>
          <cell r="O70">
            <v>4.9879065783175025E-2</v>
          </cell>
          <cell r="P70">
            <v>1.4309769075821223E-3</v>
          </cell>
          <cell r="R70">
            <v>2.3026377172201608E-2</v>
          </cell>
          <cell r="S70">
            <v>1.320304239275767E-2</v>
          </cell>
        </row>
        <row r="71">
          <cell r="D71">
            <v>1320</v>
          </cell>
          <cell r="G71">
            <v>0.17549999999999999</v>
          </cell>
          <cell r="H71">
            <v>5.4704942265381931E-2</v>
          </cell>
          <cell r="N71">
            <v>3.704327327832968</v>
          </cell>
          <cell r="O71">
            <v>4.2005744375299185E-2</v>
          </cell>
          <cell r="P71">
            <v>6.3367458043677046E-4</v>
          </cell>
          <cell r="R71">
            <v>1.7738229489095956E-2</v>
          </cell>
          <cell r="S71">
            <v>1.0063995936617191E-2</v>
          </cell>
        </row>
        <row r="72">
          <cell r="D72">
            <v>1380</v>
          </cell>
          <cell r="G72">
            <v>0.14260526315789473</v>
          </cell>
          <cell r="H72">
            <v>4.5871294171385156E-2</v>
          </cell>
          <cell r="N72">
            <v>3.8727058427344669</v>
          </cell>
          <cell r="O72">
            <v>3.4132422967423345E-2</v>
          </cell>
          <cell r="P72">
            <v>2.6629669819072817E-4</v>
          </cell>
          <cell r="R72">
            <v>1.3655329769543078E-2</v>
          </cell>
          <cell r="S72">
            <v>7.6578506941966254E-3</v>
          </cell>
        </row>
        <row r="73">
          <cell r="D73">
            <v>1440</v>
          </cell>
          <cell r="G73">
            <v>0.14260526315789473</v>
          </cell>
          <cell r="H73">
            <v>3.855202081177278E-2</v>
          </cell>
          <cell r="N73">
            <v>4.041084357635965</v>
          </cell>
          <cell r="O73">
            <v>3.4132422967423345E-2</v>
          </cell>
          <cell r="P73">
            <v>1.0620161290367838E-4</v>
          </cell>
          <cell r="R73">
            <v>1.0506447004833008E-2</v>
          </cell>
          <cell r="S73">
            <v>5.8176562215254534E-3</v>
          </cell>
        </row>
        <row r="74">
          <cell r="D74">
            <v>1500</v>
          </cell>
          <cell r="G74">
            <v>9.8745614035087734E-2</v>
          </cell>
          <cell r="H74">
            <v>3.2469325703218116E-2</v>
          </cell>
          <cell r="N74">
            <v>4.2094628725374639</v>
          </cell>
          <cell r="O74">
            <v>2.3634661090255561E-2</v>
          </cell>
          <cell r="P74">
            <v>4.0194097206907117E-5</v>
          </cell>
          <cell r="R74">
            <v>8.080079853678793E-3</v>
          </cell>
          <cell r="S74">
            <v>4.413170576655006E-3</v>
          </cell>
        </row>
        <row r="75">
          <cell r="D75">
            <v>1560</v>
          </cell>
          <cell r="G75">
            <v>7.6815789473684212E-2</v>
          </cell>
          <cell r="H75">
            <v>2.7400280115540004E-2</v>
          </cell>
          <cell r="N75">
            <v>4.3778413874389628</v>
          </cell>
          <cell r="O75">
            <v>1.8385780151671666E-2</v>
          </cell>
          <cell r="P75">
            <v>1.443641239021618E-5</v>
          </cell>
          <cell r="R75">
            <v>6.2118052735897012E-3</v>
          </cell>
          <cell r="S75">
            <v>3.3432201249446185E-3</v>
          </cell>
        </row>
        <row r="76">
          <cell r="D76">
            <v>1620</v>
          </cell>
          <cell r="G76">
            <v>4.3921052631578944E-2</v>
          </cell>
          <cell r="H76">
            <v>2.3165113196085618E-2</v>
          </cell>
          <cell r="N76">
            <v>4.5462199023404608</v>
          </cell>
          <cell r="O76">
            <v>1.0512458743795822E-2</v>
          </cell>
          <cell r="P76">
            <v>4.9206459277793874E-6</v>
          </cell>
          <cell r="R76">
            <v>4.7741087601420474E-3</v>
          </cell>
          <cell r="S76">
            <v>2.5295033192004545E-3</v>
          </cell>
        </row>
        <row r="77">
          <cell r="D77">
            <v>1680</v>
          </cell>
          <cell r="G77">
            <v>3.2956140350877197E-2</v>
          </cell>
          <cell r="H77">
            <v>1.9618203747840349E-2</v>
          </cell>
          <cell r="N77">
            <v>4.7145984172419597</v>
          </cell>
          <cell r="O77">
            <v>7.8880182745038763E-3</v>
          </cell>
          <cell r="P77">
            <v>1.5916617778665245E-6</v>
          </cell>
          <cell r="R77">
            <v>3.6682913110859645E-3</v>
          </cell>
          <cell r="S77">
            <v>1.9116180964319322E-3</v>
          </cell>
        </row>
        <row r="78">
          <cell r="D78">
            <v>1740</v>
          </cell>
          <cell r="G78">
            <v>2.1991228070175433E-2</v>
          </cell>
          <cell r="H78">
            <v>1.664110146031399E-2</v>
          </cell>
          <cell r="N78">
            <v>4.8829769321434577</v>
          </cell>
          <cell r="O78">
            <v>5.2635778052119277E-3</v>
          </cell>
          <cell r="P78">
            <v>4.8859080978808145E-7</v>
          </cell>
          <cell r="R78">
            <v>2.8180774297606828E-3</v>
          </cell>
          <cell r="S78">
            <v>1.4431052906904271E-3</v>
          </cell>
        </row>
        <row r="79">
          <cell r="D79">
            <v>1800</v>
          </cell>
          <cell r="G79">
            <v>1.1026315789473686E-2</v>
          </cell>
          <cell r="H79">
            <v>1.4137084946811077E-2</v>
          </cell>
          <cell r="N79">
            <v>5.0513554470449566</v>
          </cell>
          <cell r="O79">
            <v>2.6391373359199825E-3</v>
          </cell>
          <cell r="P79">
            <v>1.423330105677104E-7</v>
          </cell>
          <cell r="R79">
            <v>2.1645956539357368E-3</v>
          </cell>
          <cell r="S79">
            <v>1.0883227723111945E-3</v>
          </cell>
        </row>
        <row r="80">
          <cell r="D80">
            <v>1830</v>
          </cell>
          <cell r="G80">
            <v>1.1026315789473686E-2</v>
          </cell>
          <cell r="H80">
            <v>1.3037129792510493E-2</v>
          </cell>
          <cell r="N80">
            <v>5.1355447044957057</v>
          </cell>
          <cell r="O80">
            <v>2.6391373359199825E-3</v>
          </cell>
          <cell r="P80">
            <v>7.5328703799133929E-8</v>
          </cell>
          <cell r="R80">
            <v>1.8970065541009814E-3</v>
          </cell>
          <cell r="S80">
            <v>9.4478435279078568E-4</v>
          </cell>
        </row>
        <row r="81">
          <cell r="D81">
            <v>1860</v>
          </cell>
          <cell r="G81">
            <v>6.1403508771932375E-5</v>
          </cell>
          <cell r="H81">
            <v>1.2026892298517205E-2</v>
          </cell>
          <cell r="N81">
            <v>5.2197339619464556</v>
          </cell>
          <cell r="O81">
            <v>1.4696866628035513E-5</v>
          </cell>
          <cell r="P81">
            <v>3.9348828977879906E-8</v>
          </cell>
          <cell r="R81">
            <v>1.6624545027745029E-3</v>
          </cell>
          <cell r="S81">
            <v>8.19990653380922E-4</v>
          </cell>
        </row>
        <row r="82">
          <cell r="D82">
            <v>1890</v>
          </cell>
          <cell r="G82">
            <v>6.1403508771932375E-5</v>
          </cell>
          <cell r="H82">
            <v>1.1098640645576519E-2</v>
          </cell>
          <cell r="N82">
            <v>5.3039232193972046</v>
          </cell>
          <cell r="O82">
            <v>1.4696866628035513E-5</v>
          </cell>
          <cell r="P82">
            <v>2.0287082197883961E-8</v>
          </cell>
          <cell r="R82">
            <v>1.4568707851573401E-3</v>
          </cell>
          <cell r="S82">
            <v>7.1152392457612403E-4</v>
          </cell>
        </row>
        <row r="83">
          <cell r="D83">
            <v>1920</v>
          </cell>
          <cell r="G83">
            <v>6.1403508771932375E-5</v>
          </cell>
          <cell r="H83">
            <v>1.0245352514090181E-2</v>
          </cell>
          <cell r="N83">
            <v>5.3881124768479536</v>
          </cell>
          <cell r="O83">
            <v>1.4696866628035513E-5</v>
          </cell>
          <cell r="P83">
            <v>1.0323425410112823E-8</v>
          </cell>
          <cell r="R83">
            <v>1.2766855737181568E-3</v>
          </cell>
          <cell r="S83">
            <v>6.1727333924173605E-4</v>
          </cell>
        </row>
        <row r="84">
          <cell r="D84">
            <v>1950</v>
          </cell>
          <cell r="G84">
            <v>0</v>
          </cell>
          <cell r="H84">
            <v>9.4606452869149329E-3</v>
          </cell>
          <cell r="N84">
            <v>5.4723017342987026</v>
          </cell>
          <cell r="O84">
            <v>0</v>
          </cell>
          <cell r="P84">
            <v>5.1849493511300397E-9</v>
          </cell>
          <cell r="R84">
            <v>1.118767218051194E-3</v>
          </cell>
          <cell r="S84">
            <v>5.3539684764030934E-4</v>
          </cell>
        </row>
        <row r="85">
          <cell r="D85">
            <v>1980</v>
          </cell>
          <cell r="G85">
            <v>0</v>
          </cell>
          <cell r="H85">
            <v>8.7387136497199501E-3</v>
          </cell>
          <cell r="N85">
            <v>5.5564909917494525</v>
          </cell>
          <cell r="O85">
            <v>0</v>
          </cell>
          <cell r="P85">
            <v>2.570287305632098E-9</v>
          </cell>
          <cell r="R85">
            <v>9.8036882730813206E-4</v>
          </cell>
          <cell r="S85">
            <v>4.6428763500788961E-4</v>
          </cell>
        </row>
        <row r="86">
          <cell r="D86">
            <v>2010</v>
          </cell>
          <cell r="G86">
            <v>0</v>
          </cell>
          <cell r="H86">
            <v>8.0742737420894228E-3</v>
          </cell>
          <cell r="N86">
            <v>5.6406802492002015</v>
          </cell>
          <cell r="O86">
            <v>0</v>
          </cell>
          <cell r="P86">
            <v>1.2575790186372227E-9</v>
          </cell>
          <cell r="R86">
            <v>8.5908128893872888E-4</v>
          </cell>
          <cell r="S86">
            <v>4.0254465027176581E-4</v>
          </cell>
        </row>
        <row r="87">
          <cell r="D87">
            <v>2040</v>
          </cell>
          <cell r="G87">
            <v>0</v>
          </cell>
          <cell r="H87">
            <v>7.4625131172466408E-3</v>
          </cell>
          <cell r="N87">
            <v>5.7248695066509505</v>
          </cell>
          <cell r="O87">
            <v>0</v>
          </cell>
          <cell r="P87">
            <v>6.0730289796138686E-10</v>
          </cell>
          <cell r="R87">
            <v>7.527919638718254E-4</v>
          </cell>
          <cell r="S87">
            <v>3.4894673157447314E-4</v>
          </cell>
        </row>
        <row r="88">
          <cell r="D88">
            <v>2070</v>
          </cell>
          <cell r="G88">
            <v>0</v>
          </cell>
          <cell r="H88">
            <v>6.8990458590193803E-3</v>
          </cell>
          <cell r="N88">
            <v>5.8090587641017004</v>
          </cell>
          <cell r="O88">
            <v>0</v>
          </cell>
          <cell r="P88">
            <v>2.8946221616334391E-10</v>
          </cell>
          <cell r="R88">
            <v>6.5964838470832085E-4</v>
          </cell>
          <cell r="S88">
            <v>3.0242990601617864E-4</v>
          </cell>
        </row>
      </sheetData>
      <sheetData sheetId="16"/>
      <sheetData sheetId="17"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1.2061403508771933E-2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7.381578947368421E-2</v>
          </cell>
        </row>
        <row r="33">
          <cell r="E33">
            <v>0.19442982456140351</v>
          </cell>
        </row>
        <row r="34">
          <cell r="E34">
            <v>0.27118421052631581</v>
          </cell>
        </row>
        <row r="35">
          <cell r="E35">
            <v>0.47951754385964901</v>
          </cell>
        </row>
        <row r="36">
          <cell r="E36">
            <v>0.90714912280701743</v>
          </cell>
        </row>
        <row r="37">
          <cell r="E37">
            <v>1.0935526315789474</v>
          </cell>
        </row>
        <row r="38">
          <cell r="E38">
            <v>1.3128508771929825</v>
          </cell>
        </row>
        <row r="39">
          <cell r="E39">
            <v>1.4992543859649123</v>
          </cell>
        </row>
        <row r="40">
          <cell r="E40">
            <v>1.7624122807017546</v>
          </cell>
        </row>
        <row r="41">
          <cell r="E41">
            <v>1.9378508771929825</v>
          </cell>
        </row>
        <row r="42">
          <cell r="E42">
            <v>2.1461842105263158</v>
          </cell>
        </row>
        <row r="43">
          <cell r="E43">
            <v>2.168114035087719</v>
          </cell>
        </row>
        <row r="44">
          <cell r="E44">
            <v>2.321622807017544</v>
          </cell>
        </row>
        <row r="45">
          <cell r="E45">
            <v>2.3874122807017542</v>
          </cell>
        </row>
        <row r="46">
          <cell r="E46">
            <v>2.3874122807017542</v>
          </cell>
        </row>
        <row r="47">
          <cell r="E47">
            <v>2.3325877192982456</v>
          </cell>
        </row>
        <row r="48">
          <cell r="E48">
            <v>2.4641666666666668</v>
          </cell>
        </row>
        <row r="49">
          <cell r="E49">
            <v>2.4641666666666668</v>
          </cell>
        </row>
        <row r="50">
          <cell r="E50">
            <v>2.3325877192982456</v>
          </cell>
        </row>
        <row r="51">
          <cell r="E51">
            <v>2.266798245614035</v>
          </cell>
        </row>
        <row r="52">
          <cell r="E52">
            <v>2.168114035087719</v>
          </cell>
        </row>
        <row r="53">
          <cell r="E53">
            <v>2.0913596491228073</v>
          </cell>
        </row>
        <row r="54">
          <cell r="E54">
            <v>1.8939912280701756</v>
          </cell>
        </row>
        <row r="55">
          <cell r="E55">
            <v>2.0365350877192983</v>
          </cell>
        </row>
        <row r="56">
          <cell r="E56">
            <v>2.0365350877192983</v>
          </cell>
        </row>
        <row r="57">
          <cell r="E57">
            <v>1.8501315789473685</v>
          </cell>
        </row>
        <row r="58">
          <cell r="E58">
            <v>1.652763157894737</v>
          </cell>
        </row>
        <row r="59">
          <cell r="E59">
            <v>1.4225000000000003</v>
          </cell>
        </row>
        <row r="60">
          <cell r="E60">
            <v>1.1922368421052632</v>
          </cell>
        </row>
        <row r="61">
          <cell r="E61">
            <v>1.1154824561403509</v>
          </cell>
        </row>
        <row r="62">
          <cell r="E62">
            <v>1.0167982456140352</v>
          </cell>
        </row>
        <row r="63">
          <cell r="E63">
            <v>0.88521929824561396</v>
          </cell>
        </row>
        <row r="64">
          <cell r="E64">
            <v>0.84135964912280703</v>
          </cell>
        </row>
        <row r="65">
          <cell r="E65">
            <v>0.6768859649122807</v>
          </cell>
        </row>
        <row r="66">
          <cell r="E66">
            <v>0.58916666666666662</v>
          </cell>
        </row>
        <row r="67">
          <cell r="E67">
            <v>0.44662280701754381</v>
          </cell>
        </row>
        <row r="68">
          <cell r="E68">
            <v>0.4137280701754385</v>
          </cell>
        </row>
        <row r="69">
          <cell r="E69">
            <v>0.34793859649122799</v>
          </cell>
        </row>
        <row r="70">
          <cell r="E70">
            <v>0.29311403508771933</v>
          </cell>
        </row>
        <row r="71">
          <cell r="E71">
            <v>0.28214912280701754</v>
          </cell>
        </row>
        <row r="72">
          <cell r="E72">
            <v>0.23828947368421055</v>
          </cell>
        </row>
        <row r="73">
          <cell r="E73">
            <v>0.21635964912280703</v>
          </cell>
        </row>
        <row r="74">
          <cell r="E74">
            <v>0.17249999999999999</v>
          </cell>
        </row>
        <row r="75">
          <cell r="E75">
            <v>0.15057017543859652</v>
          </cell>
        </row>
        <row r="76">
          <cell r="E76">
            <v>0.128640350877193</v>
          </cell>
        </row>
        <row r="77">
          <cell r="E77">
            <v>9.5745614035087731E-2</v>
          </cell>
        </row>
        <row r="78">
          <cell r="E78">
            <v>8.478070175438597E-2</v>
          </cell>
        </row>
        <row r="79">
          <cell r="E79">
            <v>7.381578947368421E-2</v>
          </cell>
        </row>
        <row r="80">
          <cell r="E80">
            <v>7.381578947368421E-2</v>
          </cell>
        </row>
        <row r="81">
          <cell r="E81">
            <v>6.2850877192982449E-2</v>
          </cell>
        </row>
        <row r="82">
          <cell r="E82">
            <v>5.1885964912280702E-2</v>
          </cell>
        </row>
        <row r="83">
          <cell r="E83">
            <v>5.1885964912280702E-2</v>
          </cell>
        </row>
        <row r="84">
          <cell r="E84">
            <v>5.1885964912280702E-2</v>
          </cell>
        </row>
        <row r="85">
          <cell r="E85">
            <v>5.1885964912280702E-2</v>
          </cell>
        </row>
        <row r="86">
          <cell r="E86">
            <v>6.2850877192982449E-2</v>
          </cell>
        </row>
        <row r="87">
          <cell r="E87">
            <v>5.1885964912280702E-2</v>
          </cell>
        </row>
        <row r="88">
          <cell r="E88">
            <v>4.0921052631578941E-2</v>
          </cell>
        </row>
        <row r="89">
          <cell r="E89">
            <v>0</v>
          </cell>
        </row>
      </sheetData>
      <sheetData sheetId="18">
        <row r="12">
          <cell r="L12">
            <v>0</v>
          </cell>
          <cell r="M12">
            <v>0</v>
          </cell>
          <cell r="N12">
            <v>0.14198526983778209</v>
          </cell>
          <cell r="P12" t="e">
            <v>#DIV/0!</v>
          </cell>
          <cell r="Q12">
            <v>0</v>
          </cell>
        </row>
        <row r="13">
          <cell r="L13">
            <v>8.1380208333333339E-3</v>
          </cell>
          <cell r="M13">
            <v>0</v>
          </cell>
          <cell r="N13">
            <v>0.14576617863876717</v>
          </cell>
          <cell r="P13">
            <v>1.6716333141515611E-121</v>
          </cell>
          <cell r="Q13">
            <v>5.1112205302432444E-4</v>
          </cell>
        </row>
        <row r="14">
          <cell r="L14">
            <v>1.6276041666666668E-2</v>
          </cell>
          <cell r="M14">
            <v>0</v>
          </cell>
          <cell r="N14">
            <v>0.14961563613687245</v>
          </cell>
          <cell r="P14">
            <v>8.8175962608176232E-60</v>
          </cell>
          <cell r="Q14">
            <v>2.3544335000763869E-3</v>
          </cell>
        </row>
        <row r="15">
          <cell r="L15">
            <v>2.44140625E-2</v>
          </cell>
          <cell r="M15">
            <v>4.9778801109252712E-3</v>
          </cell>
          <cell r="N15">
            <v>0.15353377764143869</v>
          </cell>
          <cell r="P15">
            <v>2.9928275610218591E-39</v>
          </cell>
          <cell r="Q15">
            <v>5.6907967076588488E-3</v>
          </cell>
        </row>
        <row r="16">
          <cell r="L16">
            <v>3.2552083333333336E-2</v>
          </cell>
          <cell r="M16">
            <v>0</v>
          </cell>
          <cell r="N16">
            <v>0.15752069719768536</v>
          </cell>
          <cell r="P16">
            <v>5.2348310800147517E-29</v>
          </cell>
          <cell r="Q16">
            <v>1.0563093040327102E-2</v>
          </cell>
        </row>
        <row r="17">
          <cell r="L17">
            <v>4.0690104166666671E-2</v>
          </cell>
          <cell r="M17">
            <v>0</v>
          </cell>
          <cell r="N17">
            <v>0.16157644642433933</v>
          </cell>
          <cell r="P17">
            <v>7.0850562750783247E-23</v>
          </cell>
          <cell r="Q17">
            <v>1.6965909612129342E-2</v>
          </cell>
        </row>
        <row r="18">
          <cell r="L18">
            <v>4.8828125E-2</v>
          </cell>
          <cell r="M18">
            <v>0</v>
          </cell>
          <cell r="N18">
            <v>0.16570103336709086</v>
          </cell>
          <cell r="P18">
            <v>8.471317628094737E-19</v>
          </cell>
          <cell r="Q18">
            <v>2.4866840907279152E-2</v>
          </cell>
        </row>
        <row r="19">
          <cell r="L19">
            <v>5.6966145833333336E-2</v>
          </cell>
          <cell r="M19">
            <v>0</v>
          </cell>
          <cell r="N19">
            <v>0.16989442136978342</v>
          </cell>
          <cell r="P19">
            <v>6.8075627526274089E-16</v>
          </cell>
          <cell r="Q19">
            <v>3.4216698404306488E-2</v>
          </cell>
        </row>
        <row r="20">
          <cell r="L20">
            <v>6.5104166666666671E-2</v>
          </cell>
          <cell r="M20">
            <v>0</v>
          </cell>
          <cell r="N20">
            <v>0.17415652796526745</v>
          </cell>
          <cell r="P20">
            <v>1.0135195633955238E-13</v>
          </cell>
          <cell r="Q20">
            <v>4.4955363850149831E-2</v>
          </cell>
        </row>
        <row r="21">
          <cell r="L21">
            <v>7.32421875E-2</v>
          </cell>
          <cell r="M21">
            <v>0</v>
          </cell>
          <cell r="N21">
            <v>0.17848722378786705</v>
          </cell>
          <cell r="P21">
            <v>4.9087838988269923E-12</v>
          </cell>
          <cell r="Q21">
            <v>5.7015507483804885E-2</v>
          </cell>
        </row>
        <row r="22">
          <cell r="L22">
            <v>8.1380208333333343E-2</v>
          </cell>
          <cell r="M22">
            <v>0</v>
          </cell>
          <cell r="N22">
            <v>0.18288633150942302</v>
          </cell>
          <cell r="P22">
            <v>1.0840025764579812E-10</v>
          </cell>
          <cell r="Q22">
            <v>7.0325111352048345E-2</v>
          </cell>
        </row>
        <row r="23">
          <cell r="L23">
            <v>8.9518229166666671E-2</v>
          </cell>
          <cell r="M23">
            <v>0</v>
          </cell>
          <cell r="N23">
            <v>0.18735362480089451</v>
          </cell>
          <cell r="P23">
            <v>1.3528361396632205E-9</v>
          </cell>
          <cell r="Q23">
            <v>8.4809260911640594E-2</v>
          </cell>
        </row>
        <row r="24">
          <cell r="L24">
            <v>9.765625E-2</v>
          </cell>
          <cell r="M24">
            <v>0</v>
          </cell>
          <cell r="N24">
            <v>0.19188882732150622</v>
          </cell>
          <cell r="P24">
            <v>1.1008906910674926E-8</v>
          </cell>
          <cell r="Q24">
            <v>0.10039145834173788</v>
          </cell>
        </row>
        <row r="25">
          <cell r="L25">
            <v>0.11393229166666667</v>
          </cell>
          <cell r="M25">
            <v>0</v>
          </cell>
          <cell r="N25">
            <v>0.20116159877206874</v>
          </cell>
          <cell r="P25">
            <v>2.9189940621883268E-7</v>
          </cell>
          <cell r="Q25">
            <v>0.13454176375849738</v>
          </cell>
        </row>
        <row r="26">
          <cell r="L26">
            <v>0.13020833333333334</v>
          </cell>
          <cell r="M26">
            <v>0</v>
          </cell>
          <cell r="N26">
            <v>0.2107013984151111</v>
          </cell>
          <cell r="P26">
            <v>3.3485811783292643E-6</v>
          </cell>
          <cell r="Q26">
            <v>0.17216441831257209</v>
          </cell>
        </row>
        <row r="27">
          <cell r="L27">
            <v>0.146484375</v>
          </cell>
          <cell r="M27">
            <v>0</v>
          </cell>
          <cell r="N27">
            <v>0.22050411926975924</v>
          </cell>
          <cell r="P27">
            <v>2.1996265627607357E-5</v>
          </cell>
          <cell r="Q27">
            <v>0.21266584422624626</v>
          </cell>
        </row>
        <row r="28">
          <cell r="L28">
            <v>0.16276041666666669</v>
          </cell>
          <cell r="M28">
            <v>0</v>
          </cell>
          <cell r="N28">
            <v>0.23056476850388749</v>
          </cell>
          <cell r="P28">
            <v>9.7868548920373096E-5</v>
          </cell>
          <cell r="Q28">
            <v>0.25548066996662966</v>
          </cell>
        </row>
        <row r="29">
          <cell r="L29">
            <v>0.17903645833333334</v>
          </cell>
          <cell r="M29">
            <v>0</v>
          </cell>
          <cell r="N29">
            <v>0.24087744377223613</v>
          </cell>
          <cell r="P29">
            <v>3.2817673095557505E-4</v>
          </cell>
          <cell r="Q29">
            <v>0.30007772873209432</v>
          </cell>
        </row>
        <row r="30">
          <cell r="L30">
            <v>0.1953125</v>
          </cell>
          <cell r="M30">
            <v>0</v>
          </cell>
          <cell r="N30">
            <v>0.25143531245711925</v>
          </cell>
          <cell r="P30">
            <v>8.9046224732876236E-4</v>
          </cell>
          <cell r="Q30">
            <v>0.34596336792275501</v>
          </cell>
        </row>
        <row r="31">
          <cell r="L31">
            <v>0.2197265625</v>
          </cell>
          <cell r="M31">
            <v>3.0464626278862653E-2</v>
          </cell>
          <cell r="N31">
            <v>0.26771457052085534</v>
          </cell>
          <cell r="P31">
            <v>2.967710059802339E-3</v>
          </cell>
          <cell r="Q31">
            <v>0.41622420151093997</v>
          </cell>
        </row>
        <row r="32">
          <cell r="L32">
            <v>0.244140625</v>
          </cell>
          <cell r="M32">
            <v>8.0243427388115351E-2</v>
          </cell>
          <cell r="N32">
            <v>0.28449745269814608</v>
          </cell>
          <cell r="P32">
            <v>7.644175418478674E-3</v>
          </cell>
          <cell r="Q32">
            <v>0.48700172373133455</v>
          </cell>
        </row>
        <row r="33">
          <cell r="L33">
            <v>0.2685546875</v>
          </cell>
          <cell r="M33">
            <v>0.11192084627582162</v>
          </cell>
          <cell r="N33">
            <v>0.30174868936275234</v>
          </cell>
          <cell r="P33">
            <v>1.6333562398887908E-2</v>
          </cell>
          <cell r="Q33">
            <v>0.55712042878590184</v>
          </cell>
        </row>
        <row r="34">
          <cell r="L34">
            <v>0.29296875</v>
          </cell>
          <cell r="M34">
            <v>0.19790241182816715</v>
          </cell>
          <cell r="N34">
            <v>0.31942804186746099</v>
          </cell>
          <cell r="P34">
            <v>3.0347803894865542E-2</v>
          </cell>
          <cell r="Q34">
            <v>0.62558784745462181</v>
          </cell>
        </row>
        <row r="35">
          <cell r="L35">
            <v>0.3173828125</v>
          </cell>
          <cell r="M35">
            <v>0.37439088848824492</v>
          </cell>
          <cell r="N35">
            <v>0.33749032138128549</v>
          </cell>
          <cell r="P35">
            <v>5.0653017934610849E-2</v>
          </cell>
          <cell r="Q35">
            <v>0.69158110657226535</v>
          </cell>
        </row>
        <row r="36">
          <cell r="L36">
            <v>0.341796875</v>
          </cell>
          <cell r="M36">
            <v>0.45132176292981735</v>
          </cell>
          <cell r="N36">
            <v>0.3558854580087138</v>
          </cell>
          <cell r="P36">
            <v>7.773091044827754E-2</v>
          </cell>
          <cell r="Q36">
            <v>0.75443204642727302</v>
          </cell>
        </row>
        <row r="37">
          <cell r="L37">
            <v>0.3662109375</v>
          </cell>
          <cell r="M37">
            <v>0.54182867403754953</v>
          </cell>
          <cell r="N37">
            <v>0.37455862231104725</v>
          </cell>
          <cell r="P37">
            <v>0.11155017123259221</v>
          </cell>
          <cell r="Q37">
            <v>0.81361189381747645</v>
          </cell>
        </row>
        <row r="38">
          <cell r="L38">
            <v>0.390625</v>
          </cell>
          <cell r="M38">
            <v>0.61875954847912185</v>
          </cell>
          <cell r="N38">
            <v>0.39345040074440457</v>
          </cell>
          <cell r="P38">
            <v>0.15162054626821755</v>
          </cell>
          <cell r="Q38">
            <v>0.86871612195547776</v>
          </cell>
        </row>
        <row r="39">
          <cell r="L39">
            <v>0.4150390625</v>
          </cell>
          <cell r="M39">
            <v>0.72736784180840053</v>
          </cell>
          <cell r="N39">
            <v>0.41249702586528669</v>
          </cell>
          <cell r="P39">
            <v>0.19709392673586168</v>
          </cell>
          <cell r="Q39">
            <v>0.9194498923702692</v>
          </cell>
        </row>
        <row r="40">
          <cell r="L40">
            <v>0.439453125</v>
          </cell>
          <cell r="M40">
            <v>0.79977337069458632</v>
          </cell>
          <cell r="N40">
            <v>0.43163066144132589</v>
          </cell>
          <cell r="P40">
            <v>0.24688175850115576</v>
          </cell>
          <cell r="Q40">
            <v>0.9656143182580591</v>
          </cell>
        </row>
        <row r="41">
          <cell r="L41">
            <v>0.4638671875</v>
          </cell>
          <cell r="M41">
            <v>0.8857549362469318</v>
          </cell>
          <cell r="N41">
            <v>0.45077974185201397</v>
          </cell>
          <cell r="P41">
            <v>0.29976764898628305</v>
          </cell>
          <cell r="Q41">
            <v>1.0070936843829357</v>
          </cell>
        </row>
        <row r="42">
          <cell r="L42">
            <v>0.48828125</v>
          </cell>
          <cell r="M42">
            <v>0.89480562735770497</v>
          </cell>
          <cell r="N42">
            <v>0.46986936438317956</v>
          </cell>
          <cell r="P42">
            <v>0.35450332628951325</v>
          </cell>
          <cell r="Q42">
            <v>1.0438436880726236</v>
          </cell>
        </row>
        <row r="43">
          <cell r="L43">
            <v>0.52083333333333337</v>
          </cell>
          <cell r="M43">
            <v>0.95816046513311759</v>
          </cell>
          <cell r="N43">
            <v>0.49509488454818446</v>
          </cell>
          <cell r="P43">
            <v>0.42829089891438465</v>
          </cell>
          <cell r="Q43">
            <v>1.085522750297774</v>
          </cell>
        </row>
        <row r="44">
          <cell r="L44">
            <v>0.55338541666666674</v>
          </cell>
          <cell r="M44">
            <v>0.98531253846543709</v>
          </cell>
          <cell r="N44">
            <v>0.51988531078183009</v>
          </cell>
          <cell r="P44">
            <v>0.50065709753641574</v>
          </cell>
          <cell r="Q44">
            <v>1.1190048848140204</v>
          </cell>
        </row>
        <row r="45">
          <cell r="L45">
            <v>0.5859375</v>
          </cell>
          <cell r="M45">
            <v>0.98531253846543709</v>
          </cell>
          <cell r="N45">
            <v>0.54404453573482114</v>
          </cell>
          <cell r="P45">
            <v>0.56944988467428803</v>
          </cell>
          <cell r="Q45">
            <v>1.1445914057224196</v>
          </cell>
        </row>
        <row r="46">
          <cell r="L46">
            <v>0.61848958333333337</v>
          </cell>
          <cell r="M46">
            <v>0.96268581068850412</v>
          </cell>
          <cell r="N46">
            <v>0.56737364294878201</v>
          </cell>
          <cell r="P46">
            <v>0.63299233645630804</v>
          </cell>
          <cell r="Q46">
            <v>1.1626781845922307</v>
          </cell>
        </row>
        <row r="47">
          <cell r="L47">
            <v>0.65104166666666674</v>
          </cell>
          <cell r="M47">
            <v>1.0169899573531436</v>
          </cell>
          <cell r="N47">
            <v>0.58967356608822719</v>
          </cell>
          <cell r="P47">
            <v>0.69007584714522696</v>
          </cell>
          <cell r="Q47">
            <v>1.1737294146581696</v>
          </cell>
          <cell r="AB47">
            <v>1.6847242241996942E-2</v>
          </cell>
        </row>
        <row r="48">
          <cell r="L48">
            <v>0.68359375</v>
          </cell>
          <cell r="M48">
            <v>1.0169899573531436</v>
          </cell>
          <cell r="N48">
            <v>0.61074786942104742</v>
          </cell>
          <cell r="P48">
            <v>0.73991911818498879</v>
          </cell>
          <cell r="Q48">
            <v>1.1782555954570038</v>
          </cell>
          <cell r="AB48">
            <v>1.6847242241996942E-2</v>
          </cell>
        </row>
        <row r="49">
          <cell r="L49">
            <v>0.71614583333333337</v>
          </cell>
          <cell r="M49">
            <v>0.96268581068850412</v>
          </cell>
          <cell r="N49">
            <v>0.6304055964155757</v>
          </cell>
          <cell r="P49">
            <v>0.78210949369805727</v>
          </cell>
          <cell r="Q49">
            <v>1.1767952645287485</v>
          </cell>
          <cell r="AB49">
            <v>-3.8028181385985578E-2</v>
          </cell>
        </row>
        <row r="50">
          <cell r="L50">
            <v>0.74869791666666674</v>
          </cell>
          <cell r="M50">
            <v>0.9355337373561845</v>
          </cell>
          <cell r="N50">
            <v>0.64846412947901422</v>
          </cell>
          <cell r="P50">
            <v>0.81653808009520135</v>
          </cell>
          <cell r="Q50">
            <v>1.1699000220117972</v>
          </cell>
          <cell r="AB50">
            <v>-6.6638070469642749E-2</v>
          </cell>
        </row>
        <row r="51">
          <cell r="L51">
            <v>0.78125</v>
          </cell>
          <cell r="M51">
            <v>0.89480562735770497</v>
          </cell>
          <cell r="N51">
            <v>0.66475200145687874</v>
          </cell>
          <cell r="P51">
            <v>0.84333593746789948</v>
          </cell>
          <cell r="Q51">
            <v>1.1581224230936611</v>
          </cell>
          <cell r="AB51">
            <v>-0.11114876043007629</v>
          </cell>
        </row>
        <row r="52">
          <cell r="L52">
            <v>0.830078125</v>
          </cell>
          <cell r="M52">
            <v>0.86312820846999883</v>
          </cell>
          <cell r="N52">
            <v>0.68552345629972966</v>
          </cell>
          <cell r="P52">
            <v>0.86994553306396072</v>
          </cell>
          <cell r="Q52">
            <v>1.1324870856391329</v>
          </cell>
          <cell r="AB52">
            <v>-0.14719203755394852</v>
          </cell>
        </row>
        <row r="53">
          <cell r="L53">
            <v>0.87890625</v>
          </cell>
          <cell r="M53">
            <v>0.78167198847303987</v>
          </cell>
          <cell r="N53">
            <v>0.70149976780137036</v>
          </cell>
          <cell r="P53">
            <v>0.88167828302342433</v>
          </cell>
          <cell r="Q53">
            <v>1.0988476704441055</v>
          </cell>
          <cell r="AB53">
            <v>-0.2463200785119688</v>
          </cell>
        </row>
        <row r="54">
          <cell r="L54">
            <v>0.927734375</v>
          </cell>
          <cell r="M54">
            <v>0.84050148069306574</v>
          </cell>
          <cell r="N54">
            <v>0.71232024880620415</v>
          </cell>
          <cell r="P54">
            <v>0.88044827440345008</v>
          </cell>
          <cell r="Q54">
            <v>1.0588447078544698</v>
          </cell>
          <cell r="AB54">
            <v>-0.17375656445379811</v>
          </cell>
        </row>
        <row r="55">
          <cell r="L55">
            <v>0.9765625</v>
          </cell>
          <cell r="M55">
            <v>0.84050148069306574</v>
          </cell>
          <cell r="N55">
            <v>0.71773742900976212</v>
          </cell>
          <cell r="P55">
            <v>0.86829764144397947</v>
          </cell>
          <cell r="Q55">
            <v>1.0139731856817897</v>
          </cell>
          <cell r="AB55">
            <v>-0.17375656445379811</v>
          </cell>
        </row>
        <row r="56">
          <cell r="L56">
            <v>1.025390625</v>
          </cell>
          <cell r="M56">
            <v>0.76357060625149342</v>
          </cell>
          <cell r="N56">
            <v>0.71762646356907456</v>
          </cell>
          <cell r="P56">
            <v>0.8472416090628152</v>
          </cell>
          <cell r="Q56">
            <v>0.96556992021654764</v>
          </cell>
          <cell r="AB56">
            <v>-0.26974968151799522</v>
          </cell>
        </row>
        <row r="57">
          <cell r="L57">
            <v>1.07421875</v>
          </cell>
          <cell r="M57">
            <v>0.68211438625453447</v>
          </cell>
          <cell r="N57">
            <v>0.71198991612173579</v>
          </cell>
          <cell r="P57">
            <v>0.81917025644024133</v>
          </cell>
          <cell r="Q57">
            <v>0.91480991831025038</v>
          </cell>
          <cell r="AB57">
            <v>-0.38255791342155798</v>
          </cell>
        </row>
        <row r="58">
          <cell r="L58">
            <v>1.123046875</v>
          </cell>
          <cell r="M58">
            <v>0.5870821295914157</v>
          </cell>
          <cell r="N58">
            <v>0.70095766032631945</v>
          </cell>
          <cell r="P58">
            <v>0.78579241062967442</v>
          </cell>
          <cell r="Q58">
            <v>0.86270921489561458</v>
          </cell>
          <cell r="AB58">
            <v>-0.53259055481603956</v>
          </cell>
        </row>
        <row r="59">
          <cell r="L59">
            <v>1.171875</v>
          </cell>
          <cell r="M59">
            <v>0.49204987292829677</v>
          </cell>
          <cell r="N59">
            <v>0.6847819052046159</v>
          </cell>
          <cell r="P59">
            <v>0.74860943363411114</v>
          </cell>
          <cell r="Q59">
            <v>0.81013219845260009</v>
          </cell>
          <cell r="AB59">
            <v>-0.7091751998867506</v>
          </cell>
        </row>
        <row r="60">
          <cell r="L60">
            <v>1.220703125</v>
          </cell>
          <cell r="M60">
            <v>0.46037245404059052</v>
          </cell>
          <cell r="N60">
            <v>0.66382761037080595</v>
          </cell>
          <cell r="P60">
            <v>0.70890928422354016</v>
          </cell>
          <cell r="Q60">
            <v>0.75780187634145002</v>
          </cell>
          <cell r="AB60">
            <v>-0.77571943441826385</v>
          </cell>
        </row>
        <row r="61">
          <cell r="L61">
            <v>1.26953125</v>
          </cell>
          <cell r="M61">
            <v>0.41964434404211109</v>
          </cell>
          <cell r="N61">
            <v>0.63855879978528152</v>
          </cell>
          <cell r="P61">
            <v>0.66777362643342286</v>
          </cell>
          <cell r="Q61">
            <v>0.70631189282725482</v>
          </cell>
          <cell r="AB61">
            <v>-0.86834772634202728</v>
          </cell>
        </row>
        <row r="62">
          <cell r="L62">
            <v>1.318359375</v>
          </cell>
          <cell r="M62">
            <v>0.3653401973774717</v>
          </cell>
          <cell r="N62">
            <v>0.60952149060884253</v>
          </cell>
          <cell r="P62">
            <v>0.62609274391391567</v>
          </cell>
          <cell r="Q62">
            <v>0.65613940560339012</v>
          </cell>
          <cell r="AB62">
            <v>-1.0069263118768019</v>
          </cell>
        </row>
        <row r="63">
          <cell r="L63">
            <v>1.3671875</v>
          </cell>
          <cell r="M63">
            <v>0.34723881515592531</v>
          </cell>
          <cell r="N63">
            <v>0.57732411356559776</v>
          </cell>
          <cell r="P63">
            <v>0.58458458108832845</v>
          </cell>
          <cell r="Q63">
            <v>0.60765816183803845</v>
          </cell>
          <cell r="AB63">
            <v>-1.0577425076405831</v>
          </cell>
        </row>
        <row r="64">
          <cell r="L64">
            <v>1.46484375</v>
          </cell>
          <cell r="M64">
            <v>0.27935863182512616</v>
          </cell>
          <cell r="N64">
            <v>0.50606777755676358</v>
          </cell>
          <cell r="P64">
            <v>0.50422051530970047</v>
          </cell>
          <cell r="Q64">
            <v>0.51682356245862071</v>
          </cell>
          <cell r="AB64">
            <v>-1.2752589038760893</v>
          </cell>
        </row>
        <row r="65">
          <cell r="L65">
            <v>1.5625</v>
          </cell>
          <cell r="M65">
            <v>0.24315586738203326</v>
          </cell>
          <cell r="N65">
            <v>0.43009843179877755</v>
          </cell>
          <cell r="P65">
            <v>0.42975598856911473</v>
          </cell>
          <cell r="Q65">
            <v>0.4351998198660183</v>
          </cell>
          <cell r="AB65">
            <v>-1.4140526117139076</v>
          </cell>
        </row>
        <row r="66">
          <cell r="L66">
            <v>1.66015625</v>
          </cell>
          <cell r="M66">
            <v>0.18432637516200734</v>
          </cell>
          <cell r="N66">
            <v>0.35440285959485557</v>
          </cell>
          <cell r="P66">
            <v>0.3627585223446359</v>
          </cell>
          <cell r="Q66">
            <v>0.36326595729868721</v>
          </cell>
          <cell r="AB66">
            <v>-1.6910473146052556</v>
          </cell>
        </row>
        <row r="67">
          <cell r="L67">
            <v>1.7578125</v>
          </cell>
          <cell r="M67">
            <v>0.1707503384958475</v>
          </cell>
          <cell r="N67">
            <v>0.28313708784510666</v>
          </cell>
          <cell r="P67">
            <v>0.30377565293105657</v>
          </cell>
          <cell r="Q67">
            <v>0.3008750256672027</v>
          </cell>
          <cell r="AB67">
            <v>-1.7675527981270678</v>
          </cell>
        </row>
        <row r="68">
          <cell r="L68">
            <v>1.85546875</v>
          </cell>
          <cell r="M68">
            <v>0.14359826516352786</v>
          </cell>
          <cell r="N68">
            <v>0.21931406739142839</v>
          </cell>
          <cell r="P68">
            <v>0.25270377793895088</v>
          </cell>
          <cell r="Q68">
            <v>0.24747887026765075</v>
          </cell>
          <cell r="AB68">
            <v>-1.940735703474918</v>
          </cell>
        </row>
        <row r="69">
          <cell r="L69">
            <v>1.953125</v>
          </cell>
          <cell r="M69">
            <v>0.12097153738659484</v>
          </cell>
          <cell r="N69">
            <v>0.16470485571071214</v>
          </cell>
          <cell r="P69">
            <v>0.20905339150082358</v>
          </cell>
          <cell r="Q69">
            <v>0.20229704116933736</v>
          </cell>
          <cell r="AB69">
            <v>-2.1121999892658505</v>
          </cell>
        </row>
        <row r="70">
          <cell r="L70">
            <v>2.05078125</v>
          </cell>
          <cell r="M70">
            <v>0.11644619183120823</v>
          </cell>
          <cell r="N70">
            <v>0.11992687067030586</v>
          </cell>
          <cell r="P70">
            <v>0.1721319205789999</v>
          </cell>
          <cell r="Q70">
            <v>0.16443868472794818</v>
          </cell>
          <cell r="AB70">
            <v>-2.1503259853659205</v>
          </cell>
        </row>
        <row r="71">
          <cell r="L71">
            <v>2.1484375</v>
          </cell>
          <cell r="M71">
            <v>9.8344809609661799E-2</v>
          </cell>
          <cell r="N71">
            <v>8.4663610501059056E-2</v>
          </cell>
          <cell r="P71">
            <v>0.1411647331197696</v>
          </cell>
          <cell r="Q71">
            <v>0.13298673905924238</v>
          </cell>
          <cell r="AB71">
            <v>-2.3192755102253977</v>
          </cell>
        </row>
        <row r="72">
          <cell r="L72">
            <v>2.24609375</v>
          </cell>
          <cell r="M72">
            <v>8.9294118498888575E-2</v>
          </cell>
          <cell r="N72">
            <v>5.7949174512569736E-2</v>
          </cell>
          <cell r="P72">
            <v>0.11537160763158641</v>
          </cell>
          <cell r="Q72">
            <v>0.10705306728588965</v>
          </cell>
          <cell r="AB72">
            <v>-2.4158196555431828</v>
          </cell>
        </row>
        <row r="73">
          <cell r="L73">
            <v>2.34375</v>
          </cell>
          <cell r="M73">
            <v>7.1192736277342128E-2</v>
          </cell>
          <cell r="N73">
            <v>3.8456336344034003E-2</v>
          </cell>
          <cell r="P73">
            <v>9.4012157578023253E-2</v>
          </cell>
          <cell r="Q73">
            <v>8.5811951312229226E-2</v>
          </cell>
          <cell r="AB73">
            <v>-2.6423644843451113</v>
          </cell>
        </row>
        <row r="74">
          <cell r="L74">
            <v>2.44140625</v>
          </cell>
          <cell r="M74">
            <v>6.2142045166568932E-2</v>
          </cell>
          <cell r="N74">
            <v>2.4743364125923734E-2</v>
          </cell>
          <cell r="P74">
            <v>7.6410265118660434E-2</v>
          </cell>
          <cell r="Q74">
            <v>6.8518014011667419E-2</v>
          </cell>
          <cell r="AB74">
            <v>-2.7783324633192286</v>
          </cell>
        </row>
        <row r="75">
          <cell r="L75">
            <v>2.5390625</v>
          </cell>
          <cell r="M75">
            <v>5.3091354055795709E-2</v>
          </cell>
          <cell r="N75">
            <v>1.5435466876568419E-2</v>
          </cell>
          <cell r="P75">
            <v>6.1964773303193443E-2</v>
          </cell>
          <cell r="Q75">
            <v>5.4513342925116573E-2</v>
          </cell>
          <cell r="AB75">
            <v>-2.9357411877994695</v>
          </cell>
        </row>
        <row r="76">
          <cell r="L76">
            <v>2.63671875</v>
          </cell>
          <cell r="M76">
            <v>3.9515317389635873E-2</v>
          </cell>
          <cell r="N76">
            <v>9.3357879555766281E-3</v>
          </cell>
          <cell r="P76">
            <v>5.0151526815288026E-2</v>
          </cell>
          <cell r="Q76">
            <v>4.3227450583907402E-2</v>
          </cell>
          <cell r="AB76">
            <v>-3.2310669002269767</v>
          </cell>
        </row>
        <row r="77">
          <cell r="L77">
            <v>2.734375</v>
          </cell>
          <cell r="M77">
            <v>3.4989971834249262E-2</v>
          </cell>
          <cell r="N77">
            <v>5.4745997456703503E-3</v>
          </cell>
          <cell r="P77">
            <v>4.0520251239548152E-2</v>
          </cell>
          <cell r="Q77">
            <v>3.417275899097616E-2</v>
          </cell>
          <cell r="AB77">
            <v>-3.3526937775685899</v>
          </cell>
        </row>
        <row r="78">
          <cell r="L78">
            <v>2.83203125</v>
          </cell>
          <cell r="M78">
            <v>3.0464626278862653E-2</v>
          </cell>
          <cell r="N78">
            <v>3.112604577896669E-3</v>
          </cell>
          <cell r="P78">
            <v>3.268860672091943E-2</v>
          </cell>
          <cell r="Q78">
            <v>2.6937537283617155E-2</v>
          </cell>
          <cell r="AB78">
            <v>-3.4911890625861148</v>
          </cell>
        </row>
        <row r="79">
          <cell r="L79">
            <v>2.9296875</v>
          </cell>
          <cell r="M79">
            <v>3.0464626278862653E-2</v>
          </cell>
          <cell r="N79">
            <v>1.7157962561553568E-3</v>
          </cell>
          <cell r="P79">
            <v>2.6334937365811637E-2</v>
          </cell>
          <cell r="Q79">
            <v>2.117763336327828E-2</v>
          </cell>
          <cell r="AB79">
            <v>-3.4911890625861148</v>
          </cell>
        </row>
        <row r="80">
          <cell r="L80">
            <v>2.978515625</v>
          </cell>
          <cell r="M80">
            <v>2.5939280723476042E-2</v>
          </cell>
          <cell r="N80">
            <v>1.2592165332914354E-3</v>
          </cell>
          <cell r="P80">
            <v>2.362654650342861E-2</v>
          </cell>
          <cell r="Q80">
            <v>1.875974213621906E-2</v>
          </cell>
          <cell r="AB80">
            <v>-3.6519968289487492</v>
          </cell>
        </row>
        <row r="81">
          <cell r="L81">
            <v>3.02734375</v>
          </cell>
          <cell r="M81">
            <v>2.1413935168089437E-2</v>
          </cell>
          <cell r="N81">
            <v>9.1701758713519518E-4</v>
          </cell>
          <cell r="P81">
            <v>2.1190673815105115E-2</v>
          </cell>
          <cell r="Q81">
            <v>1.6607896497967786E-2</v>
          </cell>
          <cell r="AB81">
            <v>-3.8437133927985339</v>
          </cell>
        </row>
        <row r="82">
          <cell r="L82">
            <v>3.076171875</v>
          </cell>
          <cell r="M82">
            <v>2.1413935168089437E-2</v>
          </cell>
          <cell r="N82">
            <v>6.6267022723611021E-4</v>
          </cell>
          <cell r="P82">
            <v>1.9000833069423486E-2</v>
          </cell>
          <cell r="Q82">
            <v>1.4694306521374302E-2</v>
          </cell>
          <cell r="AB82">
            <v>-3.8437133927985339</v>
          </cell>
        </row>
        <row r="83">
          <cell r="L83">
            <v>3.125</v>
          </cell>
          <cell r="M83">
            <v>2.1413935168089437E-2</v>
          </cell>
          <cell r="N83">
            <v>4.7518180076485376E-4</v>
          </cell>
          <cell r="P83">
            <v>1.7032963268726223E-2</v>
          </cell>
          <cell r="Q83">
            <v>1.2993861664451921E-2</v>
          </cell>
          <cell r="AB83">
            <v>-3.8437133927985339</v>
          </cell>
        </row>
        <row r="84">
          <cell r="L84">
            <v>3.173828125</v>
          </cell>
          <cell r="M84">
            <v>2.1413935168089437E-2</v>
          </cell>
          <cell r="N84">
            <v>3.3811519261259964E-4</v>
          </cell>
          <cell r="P84">
            <v>1.5265231274454104E-2</v>
          </cell>
          <cell r="Q84">
            <v>1.1483907050929231E-2</v>
          </cell>
          <cell r="AB84">
            <v>-3.8437133927985339</v>
          </cell>
        </row>
        <row r="85">
          <cell r="L85">
            <v>3.22265625</v>
          </cell>
          <cell r="M85">
            <v>2.5939280723476042E-2</v>
          </cell>
          <cell r="N85">
            <v>2.3873281453056495E-4</v>
          </cell>
          <cell r="P85">
            <v>1.3677846139385635E-2</v>
          </cell>
          <cell r="Q85">
            <v>1.0144032767257161E-2</v>
          </cell>
          <cell r="AB85">
            <v>-3.6519968289487492</v>
          </cell>
        </row>
        <row r="86">
          <cell r="L86">
            <v>3.271484375</v>
          </cell>
          <cell r="M86">
            <v>2.1413935168089437E-2</v>
          </cell>
          <cell r="N86">
            <v>1.6726385315333727E-4</v>
          </cell>
          <cell r="P86">
            <v>1.2252885317605008E-2</v>
          </cell>
          <cell r="Q86">
            <v>8.9558764621410544E-3</v>
          </cell>
          <cell r="AB86">
            <v>-3.8437133927985339</v>
          </cell>
        </row>
        <row r="87">
          <cell r="L87">
            <v>3.3203125</v>
          </cell>
          <cell r="M87">
            <v>1.6888589612702821E-2</v>
          </cell>
          <cell r="N87">
            <v>1.1628792531350749E-4</v>
          </cell>
          <cell r="P87">
            <v>1.0974132689961648E-2</v>
          </cell>
          <cell r="Q87">
            <v>7.9029392699865517E-3</v>
          </cell>
          <cell r="AB87">
            <v>-4.0811170559295773</v>
          </cell>
        </row>
        <row r="88">
          <cell r="L88">
            <v>3.369140625</v>
          </cell>
          <cell r="M88">
            <v>0</v>
          </cell>
          <cell r="P88">
            <v>9.8269281668973436E-3</v>
          </cell>
          <cell r="Q88">
            <v>6.9704148726393769E-3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6"/>
  <sheetViews>
    <sheetView tabSelected="1" topLeftCell="B10" workbookViewId="0">
      <selection activeCell="H26" sqref="H26"/>
    </sheetView>
  </sheetViews>
  <sheetFormatPr baseColWidth="10" defaultRowHeight="15" x14ac:dyDescent="0.25"/>
  <cols>
    <col min="3" max="3" width="11" customWidth="1"/>
    <col min="4" max="4" width="12" bestFit="1" customWidth="1"/>
    <col min="8" max="8" width="12" bestFit="1" customWidth="1"/>
  </cols>
  <sheetData>
    <row r="3" spans="1:17" x14ac:dyDescent="0.25">
      <c r="B3" t="s">
        <v>0</v>
      </c>
      <c r="C3" t="s">
        <v>1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</row>
    <row r="4" spans="1:17" x14ac:dyDescent="0.25">
      <c r="B4" t="s">
        <v>17</v>
      </c>
    </row>
    <row r="5" spans="1:17" x14ac:dyDescent="0.25">
      <c r="B5">
        <v>600</v>
      </c>
      <c r="C5">
        <v>621.47986691718052</v>
      </c>
      <c r="D5">
        <v>135</v>
      </c>
      <c r="E5">
        <v>270.49969141479164</v>
      </c>
      <c r="F5">
        <v>400</v>
      </c>
      <c r="G5">
        <v>614.38231750893317</v>
      </c>
      <c r="H5">
        <v>524.55751105759202</v>
      </c>
      <c r="I5">
        <v>1260</v>
      </c>
      <c r="J5">
        <v>2070</v>
      </c>
      <c r="K5">
        <v>495.33307142857143</v>
      </c>
      <c r="L5">
        <v>1148.7222857142858</v>
      </c>
      <c r="M5">
        <v>2.4233361141599907</v>
      </c>
      <c r="N5">
        <v>2.4641666666666668</v>
      </c>
      <c r="O5">
        <v>1.2320833333333334</v>
      </c>
      <c r="P5">
        <v>0.24641666666666667</v>
      </c>
      <c r="Q5">
        <v>1.0168489019200002</v>
      </c>
    </row>
    <row r="6" spans="1:17" x14ac:dyDescent="0.25">
      <c r="B6">
        <v>480</v>
      </c>
      <c r="C6">
        <v>489.26540490156555</v>
      </c>
      <c r="D6">
        <v>110</v>
      </c>
      <c r="E6">
        <v>228.24858393190669</v>
      </c>
      <c r="F6">
        <v>285</v>
      </c>
      <c r="G6">
        <v>492.42753221957048</v>
      </c>
      <c r="H6">
        <v>415.25986810745383</v>
      </c>
      <c r="I6">
        <v>804.69535868271623</v>
      </c>
      <c r="J6">
        <v>1770</v>
      </c>
      <c r="K6">
        <v>392.49588461538463</v>
      </c>
      <c r="L6">
        <v>810</v>
      </c>
      <c r="M6">
        <v>2.4233361141599907</v>
      </c>
      <c r="N6">
        <v>2.7851491228070175</v>
      </c>
      <c r="O6">
        <v>1.3925745614035088</v>
      </c>
      <c r="P6">
        <v>0.27851491228070174</v>
      </c>
      <c r="Q6">
        <v>1.1493036836833685</v>
      </c>
    </row>
    <row r="7" spans="1:17" x14ac:dyDescent="0.25">
      <c r="B7">
        <v>300</v>
      </c>
      <c r="C7">
        <v>289.87476723152702</v>
      </c>
      <c r="D7">
        <v>57</v>
      </c>
      <c r="E7">
        <v>100.396046989721</v>
      </c>
      <c r="F7">
        <v>100</v>
      </c>
      <c r="G7">
        <v>308.87295808383237</v>
      </c>
      <c r="H7">
        <v>236.38524361948956</v>
      </c>
      <c r="I7">
        <v>538.54660317460309</v>
      </c>
      <c r="J7">
        <v>900</v>
      </c>
      <c r="K7">
        <v>212.30158730158723</v>
      </c>
      <c r="L7">
        <v>617.87495908346966</v>
      </c>
      <c r="M7">
        <v>2.4233361141599907</v>
      </c>
      <c r="N7">
        <v>2.8410462776659959</v>
      </c>
      <c r="O7">
        <v>1.420523138832998</v>
      </c>
      <c r="P7">
        <v>0.28410462776659962</v>
      </c>
      <c r="Q7">
        <v>1.1723698834285716</v>
      </c>
    </row>
    <row r="8" spans="1:17" x14ac:dyDescent="0.25">
      <c r="B8" t="s">
        <v>2</v>
      </c>
    </row>
    <row r="9" spans="1:17" x14ac:dyDescent="0.25">
      <c r="B9">
        <v>600</v>
      </c>
      <c r="C9">
        <v>472.72620370345624</v>
      </c>
      <c r="D9">
        <v>20</v>
      </c>
      <c r="E9">
        <v>115.91241116815003</v>
      </c>
      <c r="F9">
        <v>135</v>
      </c>
      <c r="G9">
        <v>356.36848732346436</v>
      </c>
      <c r="H9">
        <v>362.08332657683223</v>
      </c>
      <c r="I9">
        <v>950.89735162675879</v>
      </c>
      <c r="J9">
        <v>1950</v>
      </c>
      <c r="K9">
        <v>417.54656666666671</v>
      </c>
      <c r="L9">
        <v>1108.0582133333335</v>
      </c>
      <c r="M9">
        <v>4.1778521695419206</v>
      </c>
      <c r="N9">
        <v>2.7522543859649122</v>
      </c>
      <c r="O9">
        <v>1.3761271929824561</v>
      </c>
      <c r="P9">
        <v>0.27522543859649123</v>
      </c>
      <c r="Q9">
        <v>0.65877256405333329</v>
      </c>
    </row>
    <row r="10" spans="1:17" x14ac:dyDescent="0.25">
      <c r="B10">
        <v>480</v>
      </c>
      <c r="C10">
        <v>327.51508673157298</v>
      </c>
      <c r="D10">
        <v>10</v>
      </c>
      <c r="E10">
        <v>63.555051575997354</v>
      </c>
      <c r="F10">
        <v>70</v>
      </c>
      <c r="G10">
        <v>285.62940334128876</v>
      </c>
      <c r="H10">
        <v>245.41950328677581</v>
      </c>
      <c r="I10">
        <v>693.25364525590498</v>
      </c>
      <c r="J10">
        <v>1650</v>
      </c>
      <c r="K10">
        <v>329.48704103967168</v>
      </c>
      <c r="L10">
        <v>816.55074054054046</v>
      </c>
      <c r="M10">
        <v>4.1778521695419206</v>
      </c>
      <c r="N10">
        <v>3.4211140350877192</v>
      </c>
      <c r="O10">
        <v>1.7105570175438596</v>
      </c>
      <c r="P10">
        <v>0.34211140350877189</v>
      </c>
      <c r="Q10">
        <v>0.81886909738666658</v>
      </c>
    </row>
    <row r="11" spans="1:17" x14ac:dyDescent="0.25">
      <c r="B11">
        <v>300</v>
      </c>
      <c r="C11">
        <v>212.91174525459067</v>
      </c>
      <c r="D11">
        <v>6</v>
      </c>
      <c r="E11">
        <v>33.682375550660787</v>
      </c>
      <c r="F11">
        <v>24</v>
      </c>
      <c r="G11">
        <v>178.09333333333333</v>
      </c>
      <c r="H11">
        <v>157.38108014861996</v>
      </c>
      <c r="I11">
        <v>396.41631191806312</v>
      </c>
      <c r="J11">
        <v>900</v>
      </c>
      <c r="K11">
        <v>149.85499999999999</v>
      </c>
      <c r="L11">
        <v>495.54342857142854</v>
      </c>
      <c r="M11">
        <v>4.1778521695419206</v>
      </c>
      <c r="N11">
        <v>3.7766599597585513</v>
      </c>
      <c r="O11">
        <v>1.8883299798792756</v>
      </c>
      <c r="P11">
        <v>0.37766599597585515</v>
      </c>
      <c r="Q11">
        <v>0.90397165971830973</v>
      </c>
    </row>
    <row r="13" spans="1:17" x14ac:dyDescent="0.25">
      <c r="A13" t="s">
        <v>96</v>
      </c>
      <c r="B13" t="s">
        <v>0</v>
      </c>
      <c r="C13" s="3" t="s">
        <v>19</v>
      </c>
      <c r="E13" t="s">
        <v>158</v>
      </c>
      <c r="M13" t="s">
        <v>146</v>
      </c>
      <c r="N13">
        <v>3</v>
      </c>
      <c r="O13" t="s">
        <v>149</v>
      </c>
      <c r="P13">
        <v>6</v>
      </c>
    </row>
    <row r="14" spans="1:17" x14ac:dyDescent="0.25">
      <c r="A14">
        <f>B14/60</f>
        <v>10</v>
      </c>
      <c r="B14" s="1">
        <v>600</v>
      </c>
      <c r="C14">
        <v>840</v>
      </c>
      <c r="D14">
        <f>C14*B14</f>
        <v>504000</v>
      </c>
      <c r="E14">
        <f>AVERAGE(D14:D16)</f>
        <v>502600</v>
      </c>
      <c r="F14" t="s">
        <v>159</v>
      </c>
      <c r="M14" t="s">
        <v>145</v>
      </c>
      <c r="N14">
        <f>E15/A14</f>
        <v>5.0260000000000006E-2</v>
      </c>
    </row>
    <row r="15" spans="1:17" x14ac:dyDescent="0.25">
      <c r="A15">
        <f t="shared" ref="A15:A18" si="0">B15/60</f>
        <v>8</v>
      </c>
      <c r="B15" s="1">
        <v>480</v>
      </c>
      <c r="C15">
        <v>1047.5</v>
      </c>
      <c r="D15">
        <f>C15*B15</f>
        <v>502800</v>
      </c>
      <c r="E15">
        <f>(E14*(1/1000)*(1/1000))</f>
        <v>0.50260000000000005</v>
      </c>
      <c r="F15" t="s">
        <v>160</v>
      </c>
      <c r="M15" t="s">
        <v>147</v>
      </c>
      <c r="N15">
        <f>N14/N13</f>
        <v>1.6753333333333335E-2</v>
      </c>
    </row>
    <row r="16" spans="1:17" x14ac:dyDescent="0.25">
      <c r="A16">
        <f t="shared" si="0"/>
        <v>5</v>
      </c>
      <c r="B16" s="1">
        <v>300</v>
      </c>
      <c r="C16">
        <v>1670</v>
      </c>
      <c r="D16">
        <f>C16*B16</f>
        <v>501000</v>
      </c>
      <c r="M16" t="s">
        <v>148</v>
      </c>
      <c r="N16">
        <f>N15/P13</f>
        <v>2.7922222222222224E-3</v>
      </c>
    </row>
    <row r="17" spans="1:17" x14ac:dyDescent="0.25">
      <c r="A17">
        <f t="shared" si="0"/>
        <v>4</v>
      </c>
      <c r="B17" s="1">
        <v>240</v>
      </c>
      <c r="C17" s="160"/>
      <c r="M17" t="s">
        <v>150</v>
      </c>
      <c r="N17">
        <f>3.5083*10^-6</f>
        <v>3.5082999999999999E-6</v>
      </c>
    </row>
    <row r="18" spans="1:17" x14ac:dyDescent="0.25">
      <c r="A18">
        <f t="shared" si="0"/>
        <v>3</v>
      </c>
      <c r="B18" s="1">
        <v>180</v>
      </c>
      <c r="C18" s="160"/>
      <c r="M18" t="s">
        <v>151</v>
      </c>
      <c r="N18">
        <f>N16/N17</f>
        <v>795.89038058952269</v>
      </c>
    </row>
    <row r="19" spans="1:17" x14ac:dyDescent="0.25">
      <c r="M19" t="s">
        <v>152</v>
      </c>
      <c r="N19">
        <f>SQRT((N17*4/3.1416))</f>
        <v>2.1135032172317106E-3</v>
      </c>
    </row>
    <row r="20" spans="1:17" x14ac:dyDescent="0.25">
      <c r="M20" s="161" t="s">
        <v>154</v>
      </c>
      <c r="N20">
        <v>997</v>
      </c>
    </row>
    <row r="21" spans="1:17" x14ac:dyDescent="0.25">
      <c r="A21" s="41" t="s">
        <v>96</v>
      </c>
      <c r="B21" s="41" t="s">
        <v>0</v>
      </c>
      <c r="C21" s="100" t="s">
        <v>19</v>
      </c>
      <c r="D21" s="41" t="s">
        <v>157</v>
      </c>
      <c r="E21" s="41" t="s">
        <v>164</v>
      </c>
      <c r="F21" s="41" t="s">
        <v>163</v>
      </c>
      <c r="G21" s="41" t="s">
        <v>162</v>
      </c>
      <c r="H21" s="171" t="s">
        <v>153</v>
      </c>
      <c r="M21" t="s">
        <v>153</v>
      </c>
      <c r="N21">
        <f>(N19*N18*N20)/N22</f>
        <v>2094505.4693392126</v>
      </c>
      <c r="O21" t="s">
        <v>156</v>
      </c>
      <c r="Q21" t="s">
        <v>161</v>
      </c>
    </row>
    <row r="22" spans="1:17" x14ac:dyDescent="0.25">
      <c r="A22" s="41">
        <f>B22/60</f>
        <v>10</v>
      </c>
      <c r="B22" s="163">
        <v>600</v>
      </c>
      <c r="C22" s="164">
        <f t="shared" ref="C22:C24" si="1">$E$14/B22</f>
        <v>837.66666666666663</v>
      </c>
      <c r="D22" s="41">
        <f>(C22*(1/1000)*(1/1000)*(1/60))</f>
        <v>1.3961111111111111E-5</v>
      </c>
      <c r="E22" s="41">
        <f>D22/N$13</f>
        <v>4.6537037037037035E-6</v>
      </c>
      <c r="F22" s="41">
        <f>E22/P$13</f>
        <v>7.7561728395061729E-7</v>
      </c>
      <c r="G22" s="41">
        <f>F22/N$17</f>
        <v>0.22108066127486739</v>
      </c>
      <c r="H22" s="41">
        <f>(N$19*G22*N$20)/N$22</f>
        <v>581.80707481644799</v>
      </c>
      <c r="I22" t="s">
        <v>165</v>
      </c>
      <c r="M22" s="162" t="s">
        <v>155</v>
      </c>
      <c r="N22">
        <f>0.8007*10^-3</f>
        <v>8.007E-4</v>
      </c>
    </row>
    <row r="23" spans="1:17" x14ac:dyDescent="0.25">
      <c r="A23" s="41">
        <f t="shared" ref="A23:A26" si="2">B23/60</f>
        <v>8</v>
      </c>
      <c r="B23" s="163">
        <v>480</v>
      </c>
      <c r="C23" s="164">
        <f t="shared" si="1"/>
        <v>1047.0833333333333</v>
      </c>
      <c r="D23" s="41">
        <f t="shared" ref="D23:D26" si="3">(C23*(1/1000)*(1/1000)*(1/60))</f>
        <v>1.7451388888888891E-5</v>
      </c>
      <c r="E23" s="41">
        <f t="shared" ref="E23:E26" si="4">D23/N$13</f>
        <v>5.8171296296296305E-6</v>
      </c>
      <c r="F23" s="41">
        <f>E23/P$13</f>
        <v>9.6952160493827175E-7</v>
      </c>
      <c r="G23" s="41">
        <f>F23/N$17</f>
        <v>0.27635082659358429</v>
      </c>
      <c r="H23" s="41">
        <f t="shared" ref="H23:H26" si="5">(N$19*G23*N$20)/N$22</f>
        <v>727.25884352055994</v>
      </c>
    </row>
    <row r="24" spans="1:17" x14ac:dyDescent="0.25">
      <c r="A24" s="41">
        <f t="shared" si="2"/>
        <v>5</v>
      </c>
      <c r="B24" s="163">
        <v>300</v>
      </c>
      <c r="C24" s="164">
        <f t="shared" si="1"/>
        <v>1675.3333333333333</v>
      </c>
      <c r="D24" s="41">
        <f t="shared" si="3"/>
        <v>2.7922222222222223E-5</v>
      </c>
      <c r="E24" s="41">
        <f t="shared" si="4"/>
        <v>9.3074074074074071E-6</v>
      </c>
      <c r="F24" s="41">
        <f>E24/P$13</f>
        <v>1.5512345679012346E-6</v>
      </c>
      <c r="G24" s="41">
        <f>F24/N$17</f>
        <v>0.44216132254973478</v>
      </c>
      <c r="H24" s="41">
        <f t="shared" si="5"/>
        <v>1163.614149632896</v>
      </c>
    </row>
    <row r="25" spans="1:17" x14ac:dyDescent="0.25">
      <c r="A25" s="41">
        <f t="shared" si="2"/>
        <v>4</v>
      </c>
      <c r="B25" s="163">
        <v>240</v>
      </c>
      <c r="C25" s="164">
        <f>$E$14/B25</f>
        <v>2094.1666666666665</v>
      </c>
      <c r="D25" s="41">
        <f t="shared" si="3"/>
        <v>3.4902777777777783E-5</v>
      </c>
      <c r="E25" s="41">
        <f t="shared" si="4"/>
        <v>1.1634259259259261E-5</v>
      </c>
      <c r="F25" s="41">
        <f>E25/P$13</f>
        <v>1.9390432098765435E-6</v>
      </c>
      <c r="G25" s="41">
        <f>F25/N$17</f>
        <v>0.55270165318716857</v>
      </c>
      <c r="H25" s="41">
        <f t="shared" si="5"/>
        <v>1454.5176870411199</v>
      </c>
    </row>
    <row r="26" spans="1:17" x14ac:dyDescent="0.25">
      <c r="A26" s="41">
        <f t="shared" si="2"/>
        <v>3</v>
      </c>
      <c r="B26" s="163">
        <v>180</v>
      </c>
      <c r="C26" s="164">
        <f>$E$14/B26</f>
        <v>2792.2222222222222</v>
      </c>
      <c r="D26" s="41">
        <f t="shared" si="3"/>
        <v>4.6537037037037037E-5</v>
      </c>
      <c r="E26" s="41">
        <f t="shared" si="4"/>
        <v>1.5512345679012345E-5</v>
      </c>
      <c r="F26" s="41">
        <f>E26/P$13</f>
        <v>2.5853909465020574E-6</v>
      </c>
      <c r="G26" s="41">
        <f>F26/N$17</f>
        <v>0.73693553758289132</v>
      </c>
      <c r="H26" s="41">
        <f t="shared" si="5"/>
        <v>1939.3569160548266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90"/>
  <sheetViews>
    <sheetView topLeftCell="A85" workbookViewId="0">
      <selection activeCell="L4" sqref="L4"/>
    </sheetView>
  </sheetViews>
  <sheetFormatPr baseColWidth="10" defaultRowHeight="15" x14ac:dyDescent="0.25"/>
  <cols>
    <col min="13" max="13" width="8.42578125" customWidth="1"/>
    <col min="14" max="14" width="9.42578125" customWidth="1"/>
    <col min="15" max="15" width="9.7109375" customWidth="1"/>
    <col min="16" max="16" width="11.28515625" customWidth="1"/>
    <col min="17" max="18" width="12.85546875" customWidth="1"/>
    <col min="19" max="19" width="10" customWidth="1"/>
    <col min="20" max="23" width="8.140625" customWidth="1"/>
    <col min="24" max="24" width="12.7109375" customWidth="1"/>
    <col min="25" max="25" width="9.85546875" customWidth="1"/>
  </cols>
  <sheetData>
    <row r="2" spans="1:28" x14ac:dyDescent="0.25">
      <c r="A2" t="s">
        <v>20</v>
      </c>
      <c r="F2" t="s">
        <v>97</v>
      </c>
      <c r="L2" s="5">
        <f>(1.184*0.884*0.3)*1000-14.8</f>
        <v>299.1968</v>
      </c>
      <c r="N2" s="15">
        <f>0.515-0.3</f>
        <v>0.21500000000000002</v>
      </c>
    </row>
    <row r="3" spans="1:28" x14ac:dyDescent="0.25">
      <c r="A3" t="s">
        <v>130</v>
      </c>
      <c r="F3" s="3" t="s">
        <v>98</v>
      </c>
      <c r="I3" s="5">
        <f>(1.184*0.884*0.515)*1000-30.91</f>
        <v>508.11784000000006</v>
      </c>
    </row>
    <row r="4" spans="1:28" x14ac:dyDescent="0.25">
      <c r="A4" s="13" t="s">
        <v>23</v>
      </c>
      <c r="F4" t="s">
        <v>24</v>
      </c>
    </row>
    <row r="5" spans="1:28" x14ac:dyDescent="0.25">
      <c r="A5" t="s">
        <v>131</v>
      </c>
      <c r="F5" t="s">
        <v>26</v>
      </c>
    </row>
    <row r="6" spans="1:28" x14ac:dyDescent="0.25">
      <c r="A6" s="3" t="s">
        <v>140</v>
      </c>
      <c r="F6" s="3" t="s">
        <v>99</v>
      </c>
      <c r="J6" s="15">
        <f>+(250*5000)/(L2*1000)</f>
        <v>4.1778521695419206</v>
      </c>
    </row>
    <row r="7" spans="1:28" x14ac:dyDescent="0.25">
      <c r="A7" t="s">
        <v>141</v>
      </c>
      <c r="B7" s="15">
        <f>(L2*1000/1680)/60</f>
        <v>2.9682222222222223</v>
      </c>
      <c r="C7">
        <f>+B7*60</f>
        <v>178.09333333333333</v>
      </c>
      <c r="F7" t="s">
        <v>123</v>
      </c>
    </row>
    <row r="8" spans="1:28" x14ac:dyDescent="0.25">
      <c r="F8" s="130"/>
    </row>
    <row r="9" spans="1:28" x14ac:dyDescent="0.25">
      <c r="A9" s="21" t="s">
        <v>32</v>
      </c>
      <c r="B9" s="22"/>
      <c r="C9" s="22"/>
      <c r="D9" s="22"/>
      <c r="E9" s="22"/>
      <c r="F9" s="22"/>
      <c r="G9" s="23" t="s">
        <v>33</v>
      </c>
      <c r="H9" s="24" t="s">
        <v>34</v>
      </c>
      <c r="I9" s="22"/>
      <c r="J9" s="22"/>
      <c r="K9" s="24" t="s">
        <v>34</v>
      </c>
      <c r="L9" s="165" t="s">
        <v>35</v>
      </c>
      <c r="M9" s="166"/>
      <c r="N9" s="167" t="s">
        <v>101</v>
      </c>
      <c r="O9" s="168"/>
      <c r="P9" s="27" t="s">
        <v>37</v>
      </c>
      <c r="Q9" s="28" t="s">
        <v>38</v>
      </c>
      <c r="R9" s="28"/>
      <c r="S9" s="22" t="s">
        <v>39</v>
      </c>
      <c r="T9" s="28" t="s">
        <v>40</v>
      </c>
      <c r="U9" s="28" t="s">
        <v>41</v>
      </c>
      <c r="V9" s="28"/>
      <c r="W9" s="28"/>
      <c r="X9" s="30"/>
    </row>
    <row r="10" spans="1:28" x14ac:dyDescent="0.25">
      <c r="A10" s="31"/>
      <c r="B10" s="32" t="s">
        <v>42</v>
      </c>
      <c r="C10" s="32" t="s">
        <v>43</v>
      </c>
      <c r="D10" s="32" t="s">
        <v>44</v>
      </c>
      <c r="E10" s="32" t="s">
        <v>45</v>
      </c>
      <c r="F10" s="32" t="s">
        <v>124</v>
      </c>
      <c r="G10" s="32" t="s">
        <v>47</v>
      </c>
      <c r="H10" s="32" t="s">
        <v>48</v>
      </c>
      <c r="I10" s="32" t="s">
        <v>49</v>
      </c>
      <c r="J10" s="32" t="s">
        <v>50</v>
      </c>
      <c r="K10" s="32" t="s">
        <v>51</v>
      </c>
      <c r="L10" s="28" t="s">
        <v>52</v>
      </c>
      <c r="M10" s="34" t="s">
        <v>53</v>
      </c>
      <c r="N10" s="28" t="s">
        <v>54</v>
      </c>
      <c r="O10" s="28" t="s">
        <v>135</v>
      </c>
      <c r="P10" s="27" t="s">
        <v>105</v>
      </c>
      <c r="Q10" s="28" t="s">
        <v>57</v>
      </c>
      <c r="R10" s="33" t="s">
        <v>115</v>
      </c>
      <c r="S10" s="97" t="s">
        <v>142</v>
      </c>
      <c r="T10" s="32"/>
      <c r="U10" s="32"/>
      <c r="V10" s="32" t="s">
        <v>58</v>
      </c>
      <c r="W10" s="32" t="s">
        <v>59</v>
      </c>
      <c r="AB10" t="s">
        <v>60</v>
      </c>
    </row>
    <row r="11" spans="1:28" x14ac:dyDescent="0.25">
      <c r="A11" s="31"/>
      <c r="B11" s="32"/>
      <c r="C11" s="32"/>
      <c r="D11" s="32"/>
      <c r="E11" s="32"/>
      <c r="F11" s="32"/>
      <c r="G11" s="32" t="s">
        <v>64</v>
      </c>
      <c r="H11" s="32" t="s">
        <v>65</v>
      </c>
      <c r="I11" s="32" t="s">
        <v>66</v>
      </c>
      <c r="J11" s="32" t="s">
        <v>67</v>
      </c>
      <c r="K11" s="32" t="s">
        <v>65</v>
      </c>
      <c r="L11" s="33" t="s">
        <v>68</v>
      </c>
      <c r="M11" s="2" t="s">
        <v>61</v>
      </c>
      <c r="N11" s="33"/>
      <c r="O11" s="33"/>
      <c r="P11" s="154"/>
      <c r="Q11" s="33"/>
      <c r="R11" s="33"/>
      <c r="S11" s="98"/>
      <c r="T11" s="98"/>
      <c r="U11" s="98"/>
      <c r="V11" s="98"/>
      <c r="W11" s="98"/>
      <c r="X11" s="3"/>
      <c r="AB11" s="20" t="s">
        <v>69</v>
      </c>
    </row>
    <row r="12" spans="1:28" x14ac:dyDescent="0.25">
      <c r="A12" s="41">
        <v>0</v>
      </c>
      <c r="B12" s="42">
        <v>39596</v>
      </c>
      <c r="C12" s="43">
        <v>0.28125</v>
      </c>
      <c r="D12" s="155">
        <v>0</v>
      </c>
      <c r="E12" s="41">
        <v>0</v>
      </c>
      <c r="F12" s="45">
        <f>+'[1]Con 5hP4'!E33</f>
        <v>0</v>
      </c>
      <c r="G12" s="46">
        <f>+F12*E12</f>
        <v>0</v>
      </c>
      <c r="H12" s="47">
        <f>+F12/G83</f>
        <v>0</v>
      </c>
      <c r="I12" s="48">
        <f>+G12/G83</f>
        <v>0</v>
      </c>
      <c r="J12" s="49">
        <f t="shared" ref="J12:J75" si="0">+D12*I12</f>
        <v>0</v>
      </c>
      <c r="K12" s="45">
        <f>+H12*1000</f>
        <v>0</v>
      </c>
      <c r="L12" s="50">
        <f>+D12/(2.968*60)</f>
        <v>0</v>
      </c>
      <c r="M12" s="101">
        <f>+F12/4.178</f>
        <v>0</v>
      </c>
      <c r="N12" s="50">
        <f>+(1/(2*SQRT(3.1416*0.3501))*EXP(-((1-L12)^2/(4*0.3501))))</f>
        <v>0.23344080211807225</v>
      </c>
      <c r="O12" s="50">
        <f>+(1/(2*SQRT(3.1416*0.8489))*EXP(-((1-L12)^2/(4*0.8489))))</f>
        <v>0.22806944497344941</v>
      </c>
      <c r="P12" s="50" t="e">
        <f>+(1/(2*SQRT(3.1416*L12*0.1962))*EXP(-((1-L12)^2/(4*L12*0.1962))))</f>
        <v>#DIV/0!</v>
      </c>
      <c r="Q12" s="50">
        <f>+(1.428*(1.428*L12)^(1.428-1)/FACT(1.428-1))*EXP(-1.428*L12)</f>
        <v>0</v>
      </c>
      <c r="R12" s="50">
        <f>+(Q12-M12)^2</f>
        <v>0</v>
      </c>
      <c r="S12" s="102">
        <f>1666/1000*F12*E12</f>
        <v>0</v>
      </c>
      <c r="T12" s="50">
        <f>+S12/(5000*0.25)*100</f>
        <v>0</v>
      </c>
      <c r="U12" s="50">
        <f>+T12</f>
        <v>0</v>
      </c>
      <c r="V12" s="101">
        <f>+G12</f>
        <v>0</v>
      </c>
      <c r="W12" s="50">
        <f>+V12/754.515*100</f>
        <v>0</v>
      </c>
      <c r="X12" s="19"/>
      <c r="AB12" s="54">
        <f>1-W12/100</f>
        <v>1</v>
      </c>
    </row>
    <row r="13" spans="1:28" x14ac:dyDescent="0.25">
      <c r="A13" s="41">
        <v>1</v>
      </c>
      <c r="B13" s="42">
        <v>39596</v>
      </c>
      <c r="C13" s="43"/>
      <c r="D13" s="55">
        <v>3</v>
      </c>
      <c r="E13" s="41">
        <v>3</v>
      </c>
      <c r="F13" s="45">
        <f>+'[1]Con 5hP4'!E34</f>
        <v>0</v>
      </c>
      <c r="G13" s="46">
        <f t="shared" ref="G13:G76" si="1">+F13*E13</f>
        <v>0</v>
      </c>
      <c r="H13" s="47">
        <f>+F13/G83</f>
        <v>0</v>
      </c>
      <c r="I13" s="48">
        <f>+G13/G83</f>
        <v>0</v>
      </c>
      <c r="J13" s="49">
        <f t="shared" si="0"/>
        <v>0</v>
      </c>
      <c r="K13" s="45">
        <f>+H13*1000</f>
        <v>0</v>
      </c>
      <c r="L13" s="50">
        <f t="shared" ref="L13:L76" si="2">+D13/(2.968*60)</f>
        <v>1.684636118598383E-2</v>
      </c>
      <c r="M13" s="101">
        <f t="shared" ref="M13:M76" si="3">+F13/4.178</f>
        <v>0</v>
      </c>
      <c r="N13" s="50">
        <f t="shared" ref="N13:N76" si="4">+(1/(2*SQRT(3.1416*0.3501))*EXP(-((1-L13)^2/(4*0.3501))))</f>
        <v>0.23907689120383141</v>
      </c>
      <c r="O13" s="50">
        <f t="shared" ref="O13:O76" si="5">+(1/(2*SQRT(3.1416*0.8489))*EXP(-((1-L13)^2/(4*0.8489))))</f>
        <v>0.23032446959652436</v>
      </c>
      <c r="P13" s="50">
        <f t="shared" ref="P13:P76" si="6">+(1/(2*SQRT(3.1416*L13*0.1962))*EXP(-((1-L13)^2/(4*L13*0.1962))))</f>
        <v>8.6987516900036387E-32</v>
      </c>
      <c r="Q13" s="50">
        <f t="shared" ref="Q13:Q76" si="7">+(1.428*(1.428*L13)^(1.428-1)/FACT(1.428-1))*EXP(-1.428*L13)</f>
        <v>0.28278010021928268</v>
      </c>
      <c r="R13" s="50">
        <f>+(Q13-M13)^2</f>
        <v>7.9964585080027559E-2</v>
      </c>
      <c r="S13" s="102">
        <f t="shared" ref="S13:S76" si="8">1666/1000*F13*E13</f>
        <v>0</v>
      </c>
      <c r="T13" s="50">
        <f t="shared" ref="T13:T76" si="9">+S13/(5000*0.25)*100</f>
        <v>0</v>
      </c>
      <c r="U13" s="50">
        <f t="shared" ref="U13:U76" si="10">+T13</f>
        <v>0</v>
      </c>
      <c r="V13" s="101">
        <f>+V12+G13</f>
        <v>0</v>
      </c>
      <c r="W13" s="50">
        <f t="shared" ref="W13:W76" si="11">+V13/754.515*100</f>
        <v>0</v>
      </c>
      <c r="X13" s="19"/>
      <c r="AB13" s="54">
        <f t="shared" ref="AB13:AB76" si="12">1-W13/100</f>
        <v>1</v>
      </c>
    </row>
    <row r="14" spans="1:28" x14ac:dyDescent="0.25">
      <c r="A14" s="41">
        <v>2</v>
      </c>
      <c r="B14" s="42">
        <v>39596</v>
      </c>
      <c r="C14" s="43"/>
      <c r="D14" s="156">
        <v>6</v>
      </c>
      <c r="E14" s="157">
        <v>3</v>
      </c>
      <c r="F14" s="58">
        <f>+'[1]Con 5hP4'!E35</f>
        <v>0.17505030181086517</v>
      </c>
      <c r="G14" s="158">
        <f t="shared" si="1"/>
        <v>0.52515090543259557</v>
      </c>
      <c r="H14" s="57">
        <f>+F14/G83</f>
        <v>2.3200371205939294E-4</v>
      </c>
      <c r="I14" s="102">
        <f>+G14/G83</f>
        <v>6.9601113617817894E-4</v>
      </c>
      <c r="J14" s="50">
        <f t="shared" si="0"/>
        <v>4.1760668170690738E-3</v>
      </c>
      <c r="K14" s="58">
        <f>+H14*1000</f>
        <v>0.23200371205939294</v>
      </c>
      <c r="L14" s="50">
        <f t="shared" si="2"/>
        <v>3.3692722371967659E-2</v>
      </c>
      <c r="M14" s="101">
        <f t="shared" si="3"/>
        <v>4.18981095765594E-2</v>
      </c>
      <c r="N14" s="50">
        <f t="shared" si="4"/>
        <v>0.24474983517469412</v>
      </c>
      <c r="O14" s="50">
        <f t="shared" si="5"/>
        <v>0.23256291278860844</v>
      </c>
      <c r="P14" s="50">
        <f t="shared" si="6"/>
        <v>1.5995879359028233E-15</v>
      </c>
      <c r="Q14" s="50">
        <f t="shared" si="7"/>
        <v>0.37140011333582834</v>
      </c>
      <c r="R14" s="50">
        <f t="shared" ref="R14:R77" si="13">+(Q14-M14)^2</f>
        <v>0.10857157048137331</v>
      </c>
      <c r="S14" s="102">
        <f t="shared" si="8"/>
        <v>0.87490140845070408</v>
      </c>
      <c r="T14" s="50">
        <f t="shared" si="9"/>
        <v>6.9992112676056331E-2</v>
      </c>
      <c r="U14" s="50">
        <f t="shared" si="10"/>
        <v>6.9992112676056331E-2</v>
      </c>
      <c r="V14" s="101">
        <f t="shared" ref="V14:V77" si="14">+V13+G14</f>
        <v>0.52515090543259557</v>
      </c>
      <c r="W14" s="50">
        <f t="shared" si="11"/>
        <v>6.9601121970086166E-2</v>
      </c>
      <c r="X14" s="66" t="s">
        <v>72</v>
      </c>
      <c r="AB14" s="54">
        <f t="shared" si="12"/>
        <v>0.99930398878029914</v>
      </c>
    </row>
    <row r="15" spans="1:28" x14ac:dyDescent="0.25">
      <c r="A15" s="41">
        <v>3</v>
      </c>
      <c r="B15" s="42">
        <v>39596</v>
      </c>
      <c r="C15" s="43"/>
      <c r="D15" s="55">
        <v>9</v>
      </c>
      <c r="E15" s="41">
        <v>3</v>
      </c>
      <c r="F15" s="70">
        <f>+'[1]Con 5hP4'!E36</f>
        <v>1.5835010060362174</v>
      </c>
      <c r="G15" s="57">
        <f t="shared" si="1"/>
        <v>4.7505030181086525</v>
      </c>
      <c r="H15" s="57">
        <f>+F15/G83</f>
        <v>2.098700245870601E-3</v>
      </c>
      <c r="I15" s="102">
        <f>+G15/G83</f>
        <v>6.296100737611803E-3</v>
      </c>
      <c r="J15" s="50">
        <f t="shared" si="0"/>
        <v>5.6664906638506228E-2</v>
      </c>
      <c r="K15" s="58">
        <f t="shared" ref="K15:K78" si="15">+H15*1000</f>
        <v>2.0987002458706012</v>
      </c>
      <c r="L15" s="50">
        <f t="shared" si="2"/>
        <v>5.0539083557951489E-2</v>
      </c>
      <c r="M15" s="101">
        <f t="shared" si="3"/>
        <v>0.37900933605462361</v>
      </c>
      <c r="N15" s="50">
        <f t="shared" si="4"/>
        <v>0.25045585629512601</v>
      </c>
      <c r="O15" s="50">
        <f t="shared" si="5"/>
        <v>0.23478386148212785</v>
      </c>
      <c r="P15" s="50">
        <f t="shared" si="6"/>
        <v>3.8144878185873978E-10</v>
      </c>
      <c r="Q15" s="50">
        <f t="shared" si="7"/>
        <v>0.43128210699350555</v>
      </c>
      <c r="R15" s="50">
        <f t="shared" si="13"/>
        <v>2.7324425816288205E-3</v>
      </c>
      <c r="S15" s="102">
        <f t="shared" si="8"/>
        <v>7.9143380281690145</v>
      </c>
      <c r="T15" s="50">
        <f t="shared" si="9"/>
        <v>0.63314704225352114</v>
      </c>
      <c r="U15" s="50">
        <f t="shared" si="10"/>
        <v>0.63314704225352114</v>
      </c>
      <c r="V15" s="101">
        <f t="shared" si="14"/>
        <v>5.2756539235412481</v>
      </c>
      <c r="W15" s="50">
        <f t="shared" si="11"/>
        <v>0.69921127128569327</v>
      </c>
      <c r="X15" s="133">
        <f>+((([1]Resumen!O12-F14)*(D15-D14))/(F15-F14))+D14</f>
        <v>6.4315714285714289</v>
      </c>
      <c r="Y15" s="69" t="s">
        <v>73</v>
      </c>
      <c r="AB15" s="54">
        <f t="shared" si="12"/>
        <v>0.99300788728714307</v>
      </c>
    </row>
    <row r="16" spans="1:28" x14ac:dyDescent="0.25">
      <c r="A16" s="41">
        <v>4</v>
      </c>
      <c r="B16" s="42">
        <v>39596</v>
      </c>
      <c r="C16" s="43"/>
      <c r="D16" s="55">
        <v>12</v>
      </c>
      <c r="E16" s="41">
        <v>3</v>
      </c>
      <c r="F16" s="78">
        <f>+'[1]Con 5hP4'!E37</f>
        <v>2.0362173038229376</v>
      </c>
      <c r="G16" s="57">
        <f>+F16*E16</f>
        <v>6.1086519114688134</v>
      </c>
      <c r="H16" s="57">
        <f>+F16/G83</f>
        <v>2.6987098460242035E-3</v>
      </c>
      <c r="I16" s="102">
        <f>+G16/G83</f>
        <v>8.0961295380726113E-3</v>
      </c>
      <c r="J16" s="50">
        <f t="shared" si="0"/>
        <v>9.7153554456871336E-2</v>
      </c>
      <c r="K16" s="58">
        <f t="shared" si="15"/>
        <v>2.6987098460242036</v>
      </c>
      <c r="L16" s="50">
        <f t="shared" si="2"/>
        <v>6.7385444743935319E-2</v>
      </c>
      <c r="M16" s="101">
        <f t="shared" si="3"/>
        <v>0.48736651599400138</v>
      </c>
      <c r="N16" s="50">
        <f t="shared" si="4"/>
        <v>0.25619104730098274</v>
      </c>
      <c r="O16" s="50">
        <f t="shared" si="5"/>
        <v>0.23698640262748258</v>
      </c>
      <c r="P16" s="50">
        <f t="shared" si="6"/>
        <v>1.7662106343692299E-7</v>
      </c>
      <c r="Q16" s="50">
        <f t="shared" si="7"/>
        <v>0.47619800270551937</v>
      </c>
      <c r="R16" s="50">
        <f t="shared" si="13"/>
        <v>1.2473568907499919E-4</v>
      </c>
      <c r="S16" s="102">
        <f t="shared" si="8"/>
        <v>10.177014084507041</v>
      </c>
      <c r="T16" s="50">
        <f t="shared" si="9"/>
        <v>0.81416112676056318</v>
      </c>
      <c r="U16" s="50">
        <f t="shared" si="10"/>
        <v>0.81416112676056318</v>
      </c>
      <c r="V16" s="101">
        <f t="shared" si="14"/>
        <v>11.384305835010061</v>
      </c>
      <c r="W16" s="50">
        <f t="shared" si="11"/>
        <v>1.5088243222480746</v>
      </c>
      <c r="X16" s="73">
        <f>+((([1]Resumen!N12-F15)*(D16-D15))/(F16-F15))+D15</f>
        <v>11.02</v>
      </c>
      <c r="Y16" s="74" t="s">
        <v>74</v>
      </c>
      <c r="Z16" s="66"/>
      <c r="AB16" s="54">
        <f t="shared" si="12"/>
        <v>0.9849117567775193</v>
      </c>
    </row>
    <row r="17" spans="1:28" x14ac:dyDescent="0.25">
      <c r="A17" s="41">
        <v>5</v>
      </c>
      <c r="B17" s="42">
        <v>39596</v>
      </c>
      <c r="C17" s="43"/>
      <c r="D17" s="55">
        <v>15</v>
      </c>
      <c r="E17" s="41">
        <v>3</v>
      </c>
      <c r="F17" s="78">
        <f>+'[1]Con 5hP4'!E38</f>
        <v>2.3581488933601609</v>
      </c>
      <c r="G17" s="57">
        <f t="shared" si="1"/>
        <v>7.0744466800804826</v>
      </c>
      <c r="H17" s="57">
        <f>+F17/G83</f>
        <v>3.1253833394667648E-3</v>
      </c>
      <c r="I17" s="102">
        <f>+G17/G83</f>
        <v>9.3761500184002949E-3</v>
      </c>
      <c r="J17" s="50">
        <f t="shared" si="0"/>
        <v>0.14064225027600441</v>
      </c>
      <c r="K17" s="58">
        <f t="shared" si="15"/>
        <v>3.1253833394667647</v>
      </c>
      <c r="L17" s="50">
        <f t="shared" si="2"/>
        <v>8.4231805929919149E-2</v>
      </c>
      <c r="M17" s="101">
        <f t="shared" si="3"/>
        <v>0.56442051061755882</v>
      </c>
      <c r="N17" s="50">
        <f t="shared" si="4"/>
        <v>0.26195137478638836</v>
      </c>
      <c r="O17" s="50">
        <f t="shared" si="5"/>
        <v>0.23916962380654347</v>
      </c>
      <c r="P17" s="50">
        <f t="shared" si="6"/>
        <v>6.7874067485225252E-6</v>
      </c>
      <c r="Q17" s="50">
        <f t="shared" si="7"/>
        <v>0.51146674877613807</v>
      </c>
      <c r="R17" s="50">
        <f t="shared" si="13"/>
        <v>2.8041008931579087E-3</v>
      </c>
      <c r="S17" s="102">
        <f t="shared" si="8"/>
        <v>11.786028169014084</v>
      </c>
      <c r="T17" s="50">
        <f t="shared" si="9"/>
        <v>0.94288225352112676</v>
      </c>
      <c r="U17" s="50">
        <f t="shared" si="10"/>
        <v>0.94288225352112676</v>
      </c>
      <c r="V17" s="101">
        <f t="shared" si="14"/>
        <v>18.458752515090545</v>
      </c>
      <c r="W17" s="50">
        <f t="shared" si="11"/>
        <v>2.4464394366037183</v>
      </c>
      <c r="X17" s="77"/>
      <c r="Y17" s="105"/>
      <c r="Z17" s="106"/>
      <c r="AB17" s="54">
        <f t="shared" si="12"/>
        <v>0.9755356056339628</v>
      </c>
    </row>
    <row r="18" spans="1:28" x14ac:dyDescent="0.25">
      <c r="A18" s="41">
        <v>6</v>
      </c>
      <c r="B18" s="42">
        <v>39596</v>
      </c>
      <c r="C18" s="43"/>
      <c r="D18" s="55">
        <v>18</v>
      </c>
      <c r="E18" s="41">
        <v>3</v>
      </c>
      <c r="F18" s="78">
        <f>+'[1]Con 5hP4'!E39</f>
        <v>3.1529175050301812</v>
      </c>
      <c r="G18" s="57">
        <f t="shared" si="1"/>
        <v>9.4587525150905432</v>
      </c>
      <c r="H18" s="57">
        <f>+F18/G83</f>
        <v>4.17873352640309E-3</v>
      </c>
      <c r="I18" s="102">
        <f>+G18/G83</f>
        <v>1.2536200579209268E-2</v>
      </c>
      <c r="J18" s="50">
        <f t="shared" si="0"/>
        <v>0.22565161042576681</v>
      </c>
      <c r="K18" s="58">
        <f t="shared" si="15"/>
        <v>4.1787335264030903</v>
      </c>
      <c r="L18" s="50">
        <f t="shared" si="2"/>
        <v>0.10107816711590298</v>
      </c>
      <c r="M18" s="101">
        <f t="shared" si="3"/>
        <v>0.75464755984446652</v>
      </c>
      <c r="N18" s="50">
        <f t="shared" si="4"/>
        <v>0.26773268292733693</v>
      </c>
      <c r="O18" s="50">
        <f t="shared" si="5"/>
        <v>0.24133261385142571</v>
      </c>
      <c r="P18" s="50">
        <f t="shared" si="6"/>
        <v>7.5465771776813908E-5</v>
      </c>
      <c r="Q18" s="50">
        <f t="shared" si="7"/>
        <v>0.53983287371364852</v>
      </c>
      <c r="R18" s="50">
        <f t="shared" si="13"/>
        <v>4.6145349377481854E-2</v>
      </c>
      <c r="S18" s="102">
        <f t="shared" si="8"/>
        <v>15.758281690140844</v>
      </c>
      <c r="T18" s="50">
        <f t="shared" si="9"/>
        <v>1.2606625352112675</v>
      </c>
      <c r="U18" s="50">
        <f t="shared" si="10"/>
        <v>1.2606625352112675</v>
      </c>
      <c r="V18" s="101">
        <f t="shared" si="14"/>
        <v>27.91750503018109</v>
      </c>
      <c r="W18" s="50">
        <f t="shared" si="11"/>
        <v>3.7000596449614771</v>
      </c>
      <c r="X18" s="104"/>
      <c r="Y18" s="105"/>
      <c r="Z18" s="106"/>
      <c r="AB18" s="54">
        <f t="shared" si="12"/>
        <v>0.96299940355038527</v>
      </c>
    </row>
    <row r="19" spans="1:28" x14ac:dyDescent="0.25">
      <c r="A19" s="41">
        <v>7</v>
      </c>
      <c r="B19" s="42">
        <v>39596</v>
      </c>
      <c r="C19" s="43"/>
      <c r="D19" s="55">
        <v>21</v>
      </c>
      <c r="E19" s="41">
        <v>3</v>
      </c>
      <c r="F19" s="78">
        <f>+'[1]Con 5hP4'!E40</f>
        <v>3.2334004024144871</v>
      </c>
      <c r="G19" s="57">
        <f t="shared" si="1"/>
        <v>9.7002012072434614</v>
      </c>
      <c r="H19" s="57">
        <f>+F19/G83</f>
        <v>4.28540189976373E-3</v>
      </c>
      <c r="I19" s="102">
        <f>+G19/G83</f>
        <v>1.2856205699291192E-2</v>
      </c>
      <c r="J19" s="50">
        <f t="shared" si="0"/>
        <v>0.26998031968511504</v>
      </c>
      <c r="K19" s="58">
        <f t="shared" si="15"/>
        <v>4.2854018997637304</v>
      </c>
      <c r="L19" s="50">
        <f t="shared" si="2"/>
        <v>0.11792452830188681</v>
      </c>
      <c r="M19" s="101">
        <f t="shared" si="3"/>
        <v>0.77391105850035591</v>
      </c>
      <c r="N19" s="50">
        <f t="shared" si="4"/>
        <v>0.27353069754057485</v>
      </c>
      <c r="O19" s="50">
        <f t="shared" si="5"/>
        <v>0.24347446346796528</v>
      </c>
      <c r="P19" s="50">
        <f t="shared" si="6"/>
        <v>4.1406439704236574E-4</v>
      </c>
      <c r="Q19" s="50">
        <f t="shared" si="7"/>
        <v>0.56294362264348585</v>
      </c>
      <c r="R19" s="50">
        <f t="shared" si="13"/>
        <v>4.4507258992022583E-2</v>
      </c>
      <c r="S19" s="102">
        <f t="shared" si="8"/>
        <v>16.160535211267607</v>
      </c>
      <c r="T19" s="50">
        <f t="shared" si="9"/>
        <v>1.2928428169014086</v>
      </c>
      <c r="U19" s="50">
        <f t="shared" si="10"/>
        <v>1.2928428169014086</v>
      </c>
      <c r="V19" s="101">
        <f t="shared" si="14"/>
        <v>37.617706237424549</v>
      </c>
      <c r="W19" s="50">
        <f t="shared" si="11"/>
        <v>4.9856803691675511</v>
      </c>
      <c r="X19" s="104"/>
      <c r="Y19" s="105"/>
      <c r="Z19" s="106"/>
      <c r="AB19" s="54">
        <f t="shared" si="12"/>
        <v>0.95014319630832444</v>
      </c>
    </row>
    <row r="20" spans="1:28" x14ac:dyDescent="0.25">
      <c r="A20" s="41">
        <v>8</v>
      </c>
      <c r="B20" s="42">
        <v>39596</v>
      </c>
      <c r="C20" s="43"/>
      <c r="D20" s="82">
        <v>24</v>
      </c>
      <c r="E20" s="41">
        <v>3</v>
      </c>
      <c r="F20" s="78">
        <f>+'[1]Con 5hP4'!E41</f>
        <v>3.7766599597585513</v>
      </c>
      <c r="G20" s="57">
        <f t="shared" si="1"/>
        <v>11.329979879275655</v>
      </c>
      <c r="H20" s="57">
        <f>+F20/G83</f>
        <v>5.0054134199480531E-3</v>
      </c>
      <c r="I20" s="102">
        <f>+G20/G83</f>
        <v>1.501624025984416E-2</v>
      </c>
      <c r="J20" s="50">
        <f t="shared" si="0"/>
        <v>0.36038976623625985</v>
      </c>
      <c r="K20" s="58">
        <f t="shared" si="15"/>
        <v>5.0054134199480531</v>
      </c>
      <c r="L20" s="50">
        <f t="shared" si="2"/>
        <v>0.13477088948787064</v>
      </c>
      <c r="M20" s="101">
        <f t="shared" si="3"/>
        <v>0.90393967442760925</v>
      </c>
      <c r="N20" s="50">
        <f t="shared" si="4"/>
        <v>0.27934103047532133</v>
      </c>
      <c r="O20" s="50">
        <f t="shared" si="5"/>
        <v>0.24559426586331259</v>
      </c>
      <c r="P20" s="50">
        <f t="shared" si="6"/>
        <v>1.4633046287316593E-3</v>
      </c>
      <c r="Q20" s="50">
        <f t="shared" si="7"/>
        <v>0.5818858636863814</v>
      </c>
      <c r="R20" s="50">
        <f t="shared" si="13"/>
        <v>0.10371865701294661</v>
      </c>
      <c r="S20" s="102">
        <f t="shared" si="8"/>
        <v>18.875746478873239</v>
      </c>
      <c r="T20" s="50">
        <f t="shared" si="9"/>
        <v>1.5100597183098592</v>
      </c>
      <c r="U20" s="50">
        <f t="shared" si="10"/>
        <v>1.5100597183098592</v>
      </c>
      <c r="V20" s="101">
        <f t="shared" si="14"/>
        <v>48.947686116700204</v>
      </c>
      <c r="W20" s="50">
        <f t="shared" si="11"/>
        <v>6.4873045753497545</v>
      </c>
      <c r="X20" s="159" t="s">
        <v>143</v>
      </c>
      <c r="Y20" s="106"/>
      <c r="Z20" s="106"/>
      <c r="AB20" s="54">
        <f t="shared" si="12"/>
        <v>0.9351269542465025</v>
      </c>
    </row>
    <row r="21" spans="1:28" x14ac:dyDescent="0.25">
      <c r="A21" s="41">
        <v>9</v>
      </c>
      <c r="B21" s="42">
        <v>39596</v>
      </c>
      <c r="C21" s="43"/>
      <c r="D21" s="55">
        <v>27</v>
      </c>
      <c r="E21" s="41">
        <v>3</v>
      </c>
      <c r="F21" s="78">
        <f>+'[1]Con 5hP4'!E42</f>
        <v>3.2233400402414487</v>
      </c>
      <c r="G21" s="57">
        <f t="shared" si="1"/>
        <v>9.6700201207243452</v>
      </c>
      <c r="H21" s="57">
        <f>+F21/G83</f>
        <v>4.2720683530936502E-3</v>
      </c>
      <c r="I21" s="102">
        <f>+G21/G83</f>
        <v>1.2816205059280949E-2</v>
      </c>
      <c r="J21" s="50">
        <f t="shared" si="0"/>
        <v>0.34603753660058562</v>
      </c>
      <c r="K21" s="58">
        <f t="shared" si="15"/>
        <v>4.2720683530936503</v>
      </c>
      <c r="L21" s="50">
        <f t="shared" si="2"/>
        <v>0.15161725067385445</v>
      </c>
      <c r="M21" s="101">
        <f t="shared" si="3"/>
        <v>0.77150312116836972</v>
      </c>
      <c r="N21" s="50">
        <f t="shared" si="4"/>
        <v>0.28515918433438048</v>
      </c>
      <c r="O21" s="50">
        <f t="shared" si="5"/>
        <v>0.24769111737704971</v>
      </c>
      <c r="P21" s="50">
        <f t="shared" si="6"/>
        <v>3.8607263908634433E-3</v>
      </c>
      <c r="Q21" s="50">
        <f t="shared" si="7"/>
        <v>0.59742506008164042</v>
      </c>
      <c r="R21" s="50">
        <f t="shared" si="13"/>
        <v>3.0303171351715057E-2</v>
      </c>
      <c r="S21" s="102">
        <f t="shared" si="8"/>
        <v>16.110253521126758</v>
      </c>
      <c r="T21" s="50">
        <f t="shared" si="9"/>
        <v>1.2888202816901406</v>
      </c>
      <c r="U21" s="50">
        <f t="shared" si="10"/>
        <v>1.2888202816901406</v>
      </c>
      <c r="V21" s="101">
        <f t="shared" si="14"/>
        <v>58.617706237424549</v>
      </c>
      <c r="W21" s="50">
        <f t="shared" si="11"/>
        <v>7.7689252350747902</v>
      </c>
      <c r="X21" s="77"/>
      <c r="Y21" s="105"/>
      <c r="Z21" s="106"/>
      <c r="AB21" s="54">
        <f t="shared" si="12"/>
        <v>0.92231074764925214</v>
      </c>
    </row>
    <row r="22" spans="1:28" x14ac:dyDescent="0.25">
      <c r="A22" s="41">
        <v>10</v>
      </c>
      <c r="B22" s="42">
        <v>39596</v>
      </c>
      <c r="C22" s="43"/>
      <c r="D22" s="55">
        <v>30</v>
      </c>
      <c r="E22" s="41">
        <v>3</v>
      </c>
      <c r="F22" s="72">
        <f>+'[1]Con 5hP4'!E43</f>
        <v>1.9054325955734408</v>
      </c>
      <c r="G22" s="47">
        <f t="shared" si="1"/>
        <v>5.7162977867203226</v>
      </c>
      <c r="H22" s="47">
        <f>+F22/G83</f>
        <v>2.5253737393131628E-3</v>
      </c>
      <c r="I22" s="48">
        <f>+G22/G83</f>
        <v>7.5761212179394884E-3</v>
      </c>
      <c r="J22" s="49">
        <f t="shared" si="0"/>
        <v>0.22728363653818465</v>
      </c>
      <c r="K22" s="45">
        <f t="shared" si="15"/>
        <v>2.5253737393131628</v>
      </c>
      <c r="L22" s="50">
        <f t="shared" si="2"/>
        <v>0.1684636118598383</v>
      </c>
      <c r="M22" s="101">
        <f t="shared" si="3"/>
        <v>0.45606333067818117</v>
      </c>
      <c r="N22" s="50">
        <f t="shared" si="4"/>
        <v>0.29098055752017621</v>
      </c>
      <c r="O22" s="50">
        <f t="shared" si="5"/>
        <v>0.24976411811522542</v>
      </c>
      <c r="P22" s="50">
        <f t="shared" si="6"/>
        <v>8.3071913560594998E-3</v>
      </c>
      <c r="Q22" s="50">
        <f t="shared" si="7"/>
        <v>0.61012664502292624</v>
      </c>
      <c r="R22" s="50">
        <f t="shared" si="13"/>
        <v>2.3735504826887733E-2</v>
      </c>
      <c r="S22" s="102">
        <f t="shared" si="8"/>
        <v>9.5233521126760561</v>
      </c>
      <c r="T22" s="50">
        <f t="shared" si="9"/>
        <v>0.7618681690140845</v>
      </c>
      <c r="U22" s="50">
        <f t="shared" si="10"/>
        <v>0.7618681690140845</v>
      </c>
      <c r="V22" s="101">
        <f t="shared" si="14"/>
        <v>64.334004024144875</v>
      </c>
      <c r="W22" s="50">
        <f t="shared" si="11"/>
        <v>8.5265374477836602</v>
      </c>
      <c r="X22" s="77"/>
      <c r="Y22" s="105"/>
      <c r="Z22" s="106"/>
      <c r="AB22" s="54">
        <f t="shared" si="12"/>
        <v>0.91473462552216334</v>
      </c>
    </row>
    <row r="23" spans="1:28" x14ac:dyDescent="0.25">
      <c r="A23" s="41">
        <v>11</v>
      </c>
      <c r="B23" s="42">
        <v>39596</v>
      </c>
      <c r="C23" s="43"/>
      <c r="D23" s="55">
        <v>33</v>
      </c>
      <c r="E23" s="41">
        <v>3</v>
      </c>
      <c r="F23" s="78">
        <f>+'[1]Con 5hP4'!E44</f>
        <v>3.0824949698189137</v>
      </c>
      <c r="G23" s="47">
        <f t="shared" si="1"/>
        <v>9.2474849094567411</v>
      </c>
      <c r="H23" s="47">
        <f>+F23/G83</f>
        <v>4.0853986997125297E-3</v>
      </c>
      <c r="I23" s="48">
        <f>+G23/G83</f>
        <v>1.2256196099137589E-2</v>
      </c>
      <c r="J23" s="49">
        <f t="shared" si="0"/>
        <v>0.40445447127154044</v>
      </c>
      <c r="K23" s="45">
        <f t="shared" si="15"/>
        <v>4.0853986997125293</v>
      </c>
      <c r="L23" s="50">
        <f t="shared" si="2"/>
        <v>0.18530997304582211</v>
      </c>
      <c r="M23" s="101">
        <f t="shared" si="3"/>
        <v>0.73779199852056332</v>
      </c>
      <c r="N23" s="50">
        <f t="shared" si="4"/>
        <v>0.29680044960021429</v>
      </c>
      <c r="O23" s="50">
        <f t="shared" si="5"/>
        <v>0.25181237258669609</v>
      </c>
      <c r="P23" s="50">
        <f t="shared" si="6"/>
        <v>1.5419157378107312E-2</v>
      </c>
      <c r="Q23" s="50">
        <f t="shared" si="7"/>
        <v>0.62042374458331184</v>
      </c>
      <c r="R23" s="50">
        <f t="shared" si="13"/>
        <v>1.3775307032279147E-2</v>
      </c>
      <c r="S23" s="102">
        <f t="shared" si="8"/>
        <v>15.406309859154931</v>
      </c>
      <c r="T23" s="50">
        <f t="shared" si="9"/>
        <v>1.2325047887323943</v>
      </c>
      <c r="U23" s="50">
        <f t="shared" si="10"/>
        <v>1.2325047887323943</v>
      </c>
      <c r="V23" s="101">
        <f t="shared" si="14"/>
        <v>73.581488933601619</v>
      </c>
      <c r="W23" s="50">
        <f t="shared" si="11"/>
        <v>9.7521572047741429</v>
      </c>
      <c r="X23" s="77"/>
      <c r="Y23" s="105"/>
      <c r="Z23" s="106"/>
      <c r="AB23" s="54">
        <f t="shared" si="12"/>
        <v>0.90247842795225863</v>
      </c>
    </row>
    <row r="24" spans="1:28" x14ac:dyDescent="0.25">
      <c r="A24" s="41">
        <v>12</v>
      </c>
      <c r="B24" s="42">
        <v>39596</v>
      </c>
      <c r="C24" s="43"/>
      <c r="D24" s="55">
        <v>36</v>
      </c>
      <c r="E24" s="41">
        <v>3</v>
      </c>
      <c r="F24" s="72">
        <f>+'[1]Con 5hP4'!E45</f>
        <v>2.7404426559356141</v>
      </c>
      <c r="G24" s="47">
        <f t="shared" si="1"/>
        <v>8.2213279678068432</v>
      </c>
      <c r="H24" s="47">
        <f>+F24/G83</f>
        <v>3.6320581129298079E-3</v>
      </c>
      <c r="I24" s="48">
        <f>+G24/G83</f>
        <v>1.0896174338789425E-2</v>
      </c>
      <c r="J24" s="49">
        <f t="shared" si="0"/>
        <v>0.39226227619641929</v>
      </c>
      <c r="K24" s="45">
        <f t="shared" si="15"/>
        <v>3.632058112929808</v>
      </c>
      <c r="L24" s="50">
        <f t="shared" si="2"/>
        <v>0.20215633423180596</v>
      </c>
      <c r="M24" s="101">
        <f t="shared" si="3"/>
        <v>0.6559221292330335</v>
      </c>
      <c r="N24" s="50">
        <f t="shared" si="4"/>
        <v>0.30261406698544691</v>
      </c>
      <c r="O24" s="50">
        <f t="shared" si="5"/>
        <v>0.2538349903411507</v>
      </c>
      <c r="P24" s="50">
        <f t="shared" si="6"/>
        <v>2.5627028693855521E-2</v>
      </c>
      <c r="Q24" s="50">
        <f t="shared" si="7"/>
        <v>0.62865773629718391</v>
      </c>
      <c r="R24" s="50">
        <f t="shared" si="13"/>
        <v>7.4334712216040505E-4</v>
      </c>
      <c r="S24" s="102">
        <f t="shared" si="8"/>
        <v>13.696732394366199</v>
      </c>
      <c r="T24" s="50">
        <f t="shared" si="9"/>
        <v>1.0957385915492959</v>
      </c>
      <c r="U24" s="50">
        <f t="shared" si="10"/>
        <v>1.0957385915492959</v>
      </c>
      <c r="V24" s="101">
        <f t="shared" si="14"/>
        <v>81.802816901408463</v>
      </c>
      <c r="W24" s="50">
        <f t="shared" si="11"/>
        <v>10.841774769409284</v>
      </c>
      <c r="X24" s="77">
        <f>+(((10-W23)*(D24-D23))/(W24-W23))+D23</f>
        <v>33.682375550660787</v>
      </c>
      <c r="Y24" s="66" t="s">
        <v>144</v>
      </c>
      <c r="Z24" s="106"/>
      <c r="AB24" s="54">
        <f t="shared" si="12"/>
        <v>0.89158225230590715</v>
      </c>
    </row>
    <row r="25" spans="1:28" x14ac:dyDescent="0.25">
      <c r="A25" s="41">
        <v>13</v>
      </c>
      <c r="B25" s="42">
        <v>39596</v>
      </c>
      <c r="C25" s="43"/>
      <c r="D25" s="55">
        <v>39</v>
      </c>
      <c r="E25" s="41">
        <v>3</v>
      </c>
      <c r="F25" s="72">
        <f>+'[1]Con 5hP4'!E46</f>
        <v>2.901408450704225</v>
      </c>
      <c r="G25" s="47">
        <f t="shared" si="1"/>
        <v>8.704225352112676</v>
      </c>
      <c r="H25" s="47">
        <f>+F25/G83</f>
        <v>3.845394859651088E-3</v>
      </c>
      <c r="I25" s="48">
        <f>+G25/G83</f>
        <v>1.1536184578953265E-2</v>
      </c>
      <c r="J25" s="49">
        <f t="shared" si="0"/>
        <v>0.44991119857917733</v>
      </c>
      <c r="K25" s="45">
        <f t="shared" si="15"/>
        <v>3.8453948596510878</v>
      </c>
      <c r="L25" s="50">
        <f t="shared" si="2"/>
        <v>0.21900269541778977</v>
      </c>
      <c r="M25" s="101">
        <f t="shared" si="3"/>
        <v>0.69444912654481217</v>
      </c>
      <c r="N25" s="50">
        <f t="shared" si="4"/>
        <v>0.3084165289139808</v>
      </c>
      <c r="O25" s="50">
        <f t="shared" si="5"/>
        <v>0.25583108660819126</v>
      </c>
      <c r="P25" s="50">
        <f t="shared" si="6"/>
        <v>3.913486213561318E-2</v>
      </c>
      <c r="Q25" s="50">
        <f t="shared" si="7"/>
        <v>0.63510392332488574</v>
      </c>
      <c r="R25" s="50">
        <f t="shared" si="13"/>
        <v>3.5218531452143654E-3</v>
      </c>
      <c r="S25" s="102">
        <f t="shared" si="8"/>
        <v>14.501239436619716</v>
      </c>
      <c r="T25" s="50">
        <f t="shared" si="9"/>
        <v>1.1600991549295774</v>
      </c>
      <c r="U25" s="50">
        <f t="shared" si="10"/>
        <v>1.1600991549295774</v>
      </c>
      <c r="V25" s="101">
        <f t="shared" si="14"/>
        <v>90.507042253521135</v>
      </c>
      <c r="W25" s="50">
        <f t="shared" si="11"/>
        <v>11.995393365741057</v>
      </c>
      <c r="X25" s="77"/>
      <c r="Y25" s="66"/>
      <c r="Z25" s="106"/>
      <c r="AB25" s="54">
        <f t="shared" si="12"/>
        <v>0.88004606634258942</v>
      </c>
    </row>
    <row r="26" spans="1:28" x14ac:dyDescent="0.25">
      <c r="A26" s="41">
        <v>14</v>
      </c>
      <c r="B26" s="42">
        <v>39596</v>
      </c>
      <c r="C26" s="43"/>
      <c r="D26" s="55">
        <v>42</v>
      </c>
      <c r="E26" s="41">
        <v>3</v>
      </c>
      <c r="F26" s="72">
        <f>+'[1]Con 5hP4'!E47</f>
        <v>3.2334004024144871</v>
      </c>
      <c r="G26" s="47">
        <f t="shared" si="1"/>
        <v>9.7002012072434614</v>
      </c>
      <c r="H26" s="47">
        <f>+F26/G83</f>
        <v>4.28540189976373E-3</v>
      </c>
      <c r="I26" s="48">
        <f>+G26/G83</f>
        <v>1.2856205699291192E-2</v>
      </c>
      <c r="J26" s="49">
        <f t="shared" si="0"/>
        <v>0.53996063937023009</v>
      </c>
      <c r="K26" s="45">
        <f t="shared" si="15"/>
        <v>4.2854018997637304</v>
      </c>
      <c r="L26" s="50">
        <f t="shared" si="2"/>
        <v>0.23584905660377362</v>
      </c>
      <c r="M26" s="101">
        <f t="shared" si="3"/>
        <v>0.77391105850035591</v>
      </c>
      <c r="N26" s="50">
        <f t="shared" si="4"/>
        <v>0.31420287373154737</v>
      </c>
      <c r="O26" s="50">
        <f t="shared" si="5"/>
        <v>0.25779978293683503</v>
      </c>
      <c r="P26" s="50">
        <f t="shared" si="6"/>
        <v>5.5928964008034307E-2</v>
      </c>
      <c r="Q26" s="50">
        <f t="shared" si="7"/>
        <v>0.63998852889377444</v>
      </c>
      <c r="R26" s="50">
        <f t="shared" si="13"/>
        <v>1.7935243936225687E-2</v>
      </c>
      <c r="S26" s="102">
        <f t="shared" si="8"/>
        <v>16.160535211267607</v>
      </c>
      <c r="T26" s="50">
        <f t="shared" si="9"/>
        <v>1.2928428169014086</v>
      </c>
      <c r="U26" s="50">
        <f t="shared" si="10"/>
        <v>1.2928428169014086</v>
      </c>
      <c r="V26" s="101">
        <f t="shared" si="14"/>
        <v>100.2072434607646</v>
      </c>
      <c r="W26" s="50">
        <f t="shared" si="11"/>
        <v>13.281014089947133</v>
      </c>
      <c r="X26" s="77"/>
      <c r="Y26" s="105"/>
      <c r="Z26" s="106"/>
      <c r="AB26" s="54">
        <f t="shared" si="12"/>
        <v>0.8671898591005287</v>
      </c>
    </row>
    <row r="27" spans="1:28" x14ac:dyDescent="0.25">
      <c r="A27" s="41">
        <v>15</v>
      </c>
      <c r="B27" s="42">
        <v>39596</v>
      </c>
      <c r="C27" s="43"/>
      <c r="D27" s="55">
        <v>45</v>
      </c>
      <c r="E27" s="41">
        <v>3</v>
      </c>
      <c r="F27" s="72">
        <f>+'[1]Con 5hP4'!E48</f>
        <v>2.7706237424547289</v>
      </c>
      <c r="G27" s="47">
        <f t="shared" si="1"/>
        <v>8.3118712273641862</v>
      </c>
      <c r="H27" s="47">
        <f>+F27/G83</f>
        <v>3.6720587529400482E-3</v>
      </c>
      <c r="I27" s="48">
        <f>+G27/G83</f>
        <v>1.1016176258820143E-2</v>
      </c>
      <c r="J27" s="49">
        <f t="shared" si="0"/>
        <v>0.49572793164690643</v>
      </c>
      <c r="K27" s="45">
        <f t="shared" si="15"/>
        <v>3.6720587529400484</v>
      </c>
      <c r="L27" s="50">
        <f t="shared" si="2"/>
        <v>0.25269541778975746</v>
      </c>
      <c r="M27" s="101">
        <f t="shared" si="3"/>
        <v>0.66314594122899206</v>
      </c>
      <c r="N27" s="50">
        <f t="shared" si="4"/>
        <v>0.31996806545912737</v>
      </c>
      <c r="O27" s="50">
        <f t="shared" si="5"/>
        <v>0.2597402078347964</v>
      </c>
      <c r="P27" s="50">
        <f t="shared" si="6"/>
        <v>7.581505128068633E-2</v>
      </c>
      <c r="Q27" s="50">
        <f t="shared" si="7"/>
        <v>0.64350036729462756</v>
      </c>
      <c r="R27" s="50">
        <f t="shared" si="13"/>
        <v>3.8594857521058191E-4</v>
      </c>
      <c r="S27" s="102">
        <f t="shared" si="8"/>
        <v>13.847577464788735</v>
      </c>
      <c r="T27" s="50">
        <f t="shared" si="9"/>
        <v>1.1078061971830988</v>
      </c>
      <c r="U27" s="50">
        <f t="shared" si="10"/>
        <v>1.1078061971830988</v>
      </c>
      <c r="V27" s="101">
        <f t="shared" si="14"/>
        <v>108.51911468812878</v>
      </c>
      <c r="W27" s="50">
        <f t="shared" si="11"/>
        <v>14.382631848025392</v>
      </c>
      <c r="X27" s="77"/>
      <c r="Y27" s="105"/>
      <c r="Z27" s="106"/>
      <c r="AB27" s="54">
        <f t="shared" si="12"/>
        <v>0.85617368151974604</v>
      </c>
    </row>
    <row r="28" spans="1:28" x14ac:dyDescent="0.25">
      <c r="A28" s="41">
        <v>16</v>
      </c>
      <c r="B28" s="42">
        <v>39596</v>
      </c>
      <c r="C28" s="43"/>
      <c r="D28" s="55">
        <v>48</v>
      </c>
      <c r="E28" s="41">
        <v>3</v>
      </c>
      <c r="F28" s="72">
        <f>+'[1]Con 5hP4'!E49</f>
        <v>2.7605633802816905</v>
      </c>
      <c r="G28" s="47">
        <f t="shared" si="1"/>
        <v>8.2816901408450718</v>
      </c>
      <c r="H28" s="47">
        <f>+F28/G83</f>
        <v>3.6587252062699679E-3</v>
      </c>
      <c r="I28" s="48">
        <f>+G28/G83</f>
        <v>1.0976175618809904E-2</v>
      </c>
      <c r="J28" s="49">
        <f t="shared" si="0"/>
        <v>0.52685642970287538</v>
      </c>
      <c r="K28" s="45">
        <f t="shared" si="15"/>
        <v>3.6587252062699678</v>
      </c>
      <c r="L28" s="50">
        <f t="shared" si="2"/>
        <v>0.26954177897574128</v>
      </c>
      <c r="M28" s="101">
        <f t="shared" si="3"/>
        <v>0.66073800389700588</v>
      </c>
      <c r="N28" s="50">
        <f t="shared" si="4"/>
        <v>0.32570700063712155</v>
      </c>
      <c r="O28" s="50">
        <f t="shared" si="5"/>
        <v>0.26165149740690491</v>
      </c>
      <c r="P28" s="50">
        <f t="shared" si="6"/>
        <v>9.846649918263399E-2</v>
      </c>
      <c r="Q28" s="50">
        <f t="shared" si="7"/>
        <v>0.64579911058002881</v>
      </c>
      <c r="R28" s="50">
        <f t="shared" si="13"/>
        <v>2.23170533536022E-4</v>
      </c>
      <c r="S28" s="102">
        <f t="shared" si="8"/>
        <v>13.797295774647889</v>
      </c>
      <c r="T28" s="50">
        <f t="shared" si="9"/>
        <v>1.1037836619718311</v>
      </c>
      <c r="U28" s="50">
        <f t="shared" si="10"/>
        <v>1.1037836619718311</v>
      </c>
      <c r="V28" s="101">
        <f t="shared" si="14"/>
        <v>116.80080482897385</v>
      </c>
      <c r="W28" s="50">
        <f t="shared" si="11"/>
        <v>15.480249541622612</v>
      </c>
      <c r="X28" s="135"/>
      <c r="Y28" s="105"/>
      <c r="Z28" s="106"/>
      <c r="AB28" s="54">
        <f t="shared" si="12"/>
        <v>0.84519750458377385</v>
      </c>
    </row>
    <row r="29" spans="1:28" x14ac:dyDescent="0.25">
      <c r="A29" s="41">
        <v>17</v>
      </c>
      <c r="B29" s="42">
        <v>39596</v>
      </c>
      <c r="C29" s="43"/>
      <c r="D29" s="55">
        <v>51</v>
      </c>
      <c r="E29" s="41">
        <v>3</v>
      </c>
      <c r="F29" s="72">
        <f>+'[1]Con 5hP4'!E50</f>
        <v>2.9114688128772634</v>
      </c>
      <c r="G29" s="47">
        <f t="shared" si="1"/>
        <v>8.7344064386317903</v>
      </c>
      <c r="H29" s="47">
        <f>+F29/G83</f>
        <v>3.8587284063211682E-3</v>
      </c>
      <c r="I29" s="48">
        <f>+G29/G83</f>
        <v>1.1576185218963505E-2</v>
      </c>
      <c r="J29" s="49">
        <f t="shared" si="0"/>
        <v>0.59038544616713873</v>
      </c>
      <c r="K29" s="45">
        <f t="shared" si="15"/>
        <v>3.858728406321168</v>
      </c>
      <c r="L29" s="50">
        <f t="shared" si="2"/>
        <v>0.28638814016172509</v>
      </c>
      <c r="M29" s="101">
        <f t="shared" si="3"/>
        <v>0.69685706387679835</v>
      </c>
      <c r="N29" s="50">
        <f t="shared" si="4"/>
        <v>0.3314145154344591</v>
      </c>
      <c r="O29" s="50">
        <f t="shared" si="5"/>
        <v>0.26353279599200868</v>
      </c>
      <c r="P29" s="50">
        <f t="shared" si="6"/>
        <v>0.1234721790420741</v>
      </c>
      <c r="Q29" s="50">
        <f t="shared" si="7"/>
        <v>0.64702130020440862</v>
      </c>
      <c r="R29" s="50">
        <f t="shared" si="13"/>
        <v>2.4836033408102802E-3</v>
      </c>
      <c r="S29" s="102">
        <f t="shared" si="8"/>
        <v>14.551521126760562</v>
      </c>
      <c r="T29" s="50">
        <f t="shared" si="9"/>
        <v>1.1641216901408449</v>
      </c>
      <c r="U29" s="50">
        <f t="shared" si="10"/>
        <v>1.1641216901408449</v>
      </c>
      <c r="V29" s="101">
        <f t="shared" si="14"/>
        <v>125.53521126760565</v>
      </c>
      <c r="W29" s="50">
        <f t="shared" si="11"/>
        <v>16.637868202435424</v>
      </c>
      <c r="X29" s="77"/>
      <c r="Y29" s="107"/>
      <c r="Z29" s="106"/>
      <c r="AB29" s="54">
        <f t="shared" si="12"/>
        <v>0.83362131797564576</v>
      </c>
    </row>
    <row r="30" spans="1:28" x14ac:dyDescent="0.25">
      <c r="A30" s="41">
        <v>18</v>
      </c>
      <c r="B30" s="42">
        <v>39596</v>
      </c>
      <c r="C30" s="43"/>
      <c r="D30" s="55">
        <v>54</v>
      </c>
      <c r="E30" s="41">
        <v>3</v>
      </c>
      <c r="F30" s="72">
        <f>+'[1]Con 5hP4'!E51</f>
        <v>2.8309859154929575</v>
      </c>
      <c r="G30" s="47">
        <f t="shared" si="1"/>
        <v>8.4929577464788721</v>
      </c>
      <c r="H30" s="47">
        <f>+F30/G83</f>
        <v>3.7520600329605273E-3</v>
      </c>
      <c r="I30" s="48">
        <f>+G30/G83</f>
        <v>1.1256180098881581E-2</v>
      </c>
      <c r="J30" s="49">
        <f t="shared" si="0"/>
        <v>0.60783372533960534</v>
      </c>
      <c r="K30" s="45">
        <f t="shared" si="15"/>
        <v>3.7520600329605274</v>
      </c>
      <c r="L30" s="50">
        <f t="shared" si="2"/>
        <v>0.30323450134770891</v>
      </c>
      <c r="M30" s="101">
        <f t="shared" si="3"/>
        <v>0.67759356522090897</v>
      </c>
      <c r="N30" s="50">
        <f t="shared" si="4"/>
        <v>0.33708539301006724</v>
      </c>
      <c r="O30" s="50">
        <f t="shared" si="5"/>
        <v>0.26538325679771146</v>
      </c>
      <c r="P30" s="50">
        <f t="shared" si="6"/>
        <v>0.15037782084027904</v>
      </c>
      <c r="Q30" s="50">
        <f t="shared" si="7"/>
        <v>0.64728481921166858</v>
      </c>
      <c r="R30" s="50">
        <f t="shared" si="13"/>
        <v>9.186200846526449E-4</v>
      </c>
      <c r="S30" s="102">
        <f t="shared" si="8"/>
        <v>14.149267605633801</v>
      </c>
      <c r="T30" s="50">
        <f t="shared" si="9"/>
        <v>1.131941408450704</v>
      </c>
      <c r="U30" s="50">
        <f t="shared" si="10"/>
        <v>1.131941408450704</v>
      </c>
      <c r="V30" s="101">
        <f t="shared" si="14"/>
        <v>134.02816901408451</v>
      </c>
      <c r="W30" s="50">
        <f t="shared" si="11"/>
        <v>17.763486347399919</v>
      </c>
      <c r="X30" s="77"/>
      <c r="Y30" s="66"/>
      <c r="Z30" s="106"/>
      <c r="AB30" s="54">
        <f t="shared" si="12"/>
        <v>0.82236513652600085</v>
      </c>
    </row>
    <row r="31" spans="1:28" x14ac:dyDescent="0.25">
      <c r="A31" s="41">
        <v>19</v>
      </c>
      <c r="B31" s="42">
        <v>39596</v>
      </c>
      <c r="C31" s="43"/>
      <c r="D31" s="55">
        <v>57</v>
      </c>
      <c r="E31" s="41">
        <v>3</v>
      </c>
      <c r="F31" s="72">
        <f>+'[1]Con 5hP4'!E52</f>
        <v>2.7102615694164993</v>
      </c>
      <c r="G31" s="47">
        <f t="shared" si="1"/>
        <v>8.1307847082494984</v>
      </c>
      <c r="H31" s="47">
        <f>+F31/G83</f>
        <v>3.5920574729195677E-3</v>
      </c>
      <c r="I31" s="48">
        <f>+G31/G83</f>
        <v>1.0776172418758704E-2</v>
      </c>
      <c r="J31" s="49">
        <f t="shared" si="0"/>
        <v>0.61424182786924608</v>
      </c>
      <c r="K31" s="45">
        <f t="shared" si="15"/>
        <v>3.5920574729195676</v>
      </c>
      <c r="L31" s="50">
        <f t="shared" si="2"/>
        <v>0.32008086253369278</v>
      </c>
      <c r="M31" s="101">
        <f t="shared" si="3"/>
        <v>0.64869831723707505</v>
      </c>
      <c r="N31" s="50">
        <f t="shared" si="4"/>
        <v>0.3427143711131726</v>
      </c>
      <c r="O31" s="50">
        <f t="shared" si="5"/>
        <v>0.2672020425322888</v>
      </c>
      <c r="P31" s="50">
        <f t="shared" si="6"/>
        <v>0.17871862580379011</v>
      </c>
      <c r="Q31" s="50">
        <f t="shared" si="7"/>
        <v>0.64669228574087534</v>
      </c>
      <c r="R31" s="50">
        <f t="shared" si="13"/>
        <v>4.0241623637452538E-6</v>
      </c>
      <c r="S31" s="102">
        <f t="shared" si="8"/>
        <v>13.545887323943662</v>
      </c>
      <c r="T31" s="50">
        <f t="shared" si="9"/>
        <v>1.0836709859154929</v>
      </c>
      <c r="U31" s="50">
        <f t="shared" si="10"/>
        <v>1.0836709859154929</v>
      </c>
      <c r="V31" s="101">
        <f t="shared" si="14"/>
        <v>142.15895372233402</v>
      </c>
      <c r="W31" s="50">
        <f t="shared" si="11"/>
        <v>18.841103718591945</v>
      </c>
      <c r="X31" s="71"/>
      <c r="Y31" s="106"/>
      <c r="Z31" s="106"/>
      <c r="AB31" s="54">
        <f t="shared" si="12"/>
        <v>0.81158896281408055</v>
      </c>
    </row>
    <row r="32" spans="1:28" x14ac:dyDescent="0.25">
      <c r="A32" s="41">
        <v>20</v>
      </c>
      <c r="B32" s="42">
        <v>39596</v>
      </c>
      <c r="C32" s="43"/>
      <c r="D32" s="55">
        <v>60</v>
      </c>
      <c r="E32" s="41">
        <v>3</v>
      </c>
      <c r="F32" s="72">
        <f>+'[1]Con 5hP4'!E53</f>
        <v>2.6398390342052314</v>
      </c>
      <c r="G32" s="47">
        <f t="shared" si="1"/>
        <v>7.9195171026156945</v>
      </c>
      <c r="H32" s="47">
        <f>+F32/G83</f>
        <v>3.4987226462290066E-3</v>
      </c>
      <c r="I32" s="48">
        <f>+G32/G83</f>
        <v>1.0496167938687021E-2</v>
      </c>
      <c r="J32" s="49">
        <f t="shared" si="0"/>
        <v>0.62977007632122128</v>
      </c>
      <c r="K32" s="45">
        <f t="shared" si="15"/>
        <v>3.4987226462290066</v>
      </c>
      <c r="L32" s="50">
        <f t="shared" si="2"/>
        <v>0.33692722371967659</v>
      </c>
      <c r="M32" s="101">
        <f t="shared" si="3"/>
        <v>0.63184275591317174</v>
      </c>
      <c r="N32" s="50">
        <f t="shared" si="4"/>
        <v>0.34829614990798113</v>
      </c>
      <c r="O32" s="50">
        <f t="shared" si="5"/>
        <v>0.26898832603312611</v>
      </c>
      <c r="P32" s="50">
        <f t="shared" si="6"/>
        <v>0.20804308765286963</v>
      </c>
      <c r="Q32" s="50">
        <f t="shared" si="7"/>
        <v>0.64533367328564339</v>
      </c>
      <c r="R32" s="50">
        <f t="shared" si="13"/>
        <v>1.8200485155085751E-4</v>
      </c>
      <c r="S32" s="102">
        <f t="shared" si="8"/>
        <v>13.193915492957744</v>
      </c>
      <c r="T32" s="50">
        <f t="shared" si="9"/>
        <v>1.0555132394366196</v>
      </c>
      <c r="U32" s="50">
        <f t="shared" si="10"/>
        <v>1.0555132394366196</v>
      </c>
      <c r="V32" s="101">
        <f t="shared" si="14"/>
        <v>150.0784708249497</v>
      </c>
      <c r="W32" s="50">
        <f t="shared" si="11"/>
        <v>19.890720638416692</v>
      </c>
      <c r="X32" s="77"/>
      <c r="Y32" s="105"/>
      <c r="Z32" s="106"/>
      <c r="AB32" s="54">
        <f t="shared" si="12"/>
        <v>0.80109279361583308</v>
      </c>
    </row>
    <row r="33" spans="1:28" x14ac:dyDescent="0.25">
      <c r="A33" s="41">
        <v>21</v>
      </c>
      <c r="B33" s="42">
        <v>39596</v>
      </c>
      <c r="C33" s="43"/>
      <c r="D33" s="55">
        <v>65</v>
      </c>
      <c r="E33" s="41">
        <v>5</v>
      </c>
      <c r="F33" s="72">
        <f>+'[1]Con 5hP4'!E54</f>
        <v>2.6599597585513082</v>
      </c>
      <c r="G33" s="47">
        <f t="shared" si="1"/>
        <v>13.29979879275654</v>
      </c>
      <c r="H33" s="47">
        <f>+F33/G83</f>
        <v>3.5253897395691671E-3</v>
      </c>
      <c r="I33" s="48">
        <f>+G33/G83</f>
        <v>1.7626948697845837E-2</v>
      </c>
      <c r="J33" s="49">
        <f t="shared" si="0"/>
        <v>1.1457516653599793</v>
      </c>
      <c r="K33" s="45">
        <f t="shared" si="15"/>
        <v>3.5253897395691669</v>
      </c>
      <c r="L33" s="50">
        <f t="shared" si="2"/>
        <v>0.36500449236298294</v>
      </c>
      <c r="M33" s="101">
        <f t="shared" si="3"/>
        <v>0.63665863057714411</v>
      </c>
      <c r="N33" s="50">
        <f t="shared" si="4"/>
        <v>0.35747974243003916</v>
      </c>
      <c r="O33" s="50">
        <f t="shared" si="5"/>
        <v>0.27189102573706253</v>
      </c>
      <c r="P33" s="50">
        <f t="shared" si="6"/>
        <v>0.25797416975608328</v>
      </c>
      <c r="Q33" s="50">
        <f t="shared" si="7"/>
        <v>0.6415784353287235</v>
      </c>
      <c r="R33" s="50">
        <f t="shared" si="13"/>
        <v>2.4204478793663063E-5</v>
      </c>
      <c r="S33" s="102">
        <f t="shared" si="8"/>
        <v>22.157464788732394</v>
      </c>
      <c r="T33" s="50">
        <f t="shared" si="9"/>
        <v>1.7725971830985916</v>
      </c>
      <c r="U33" s="50">
        <f t="shared" si="10"/>
        <v>1.7725971830985916</v>
      </c>
      <c r="V33" s="101">
        <f t="shared" si="14"/>
        <v>163.37826961770625</v>
      </c>
      <c r="W33" s="50">
        <f t="shared" si="11"/>
        <v>21.65341571972807</v>
      </c>
      <c r="X33" s="77"/>
      <c r="Y33" s="105"/>
      <c r="Z33" s="106"/>
      <c r="AB33" s="54">
        <f t="shared" si="12"/>
        <v>0.78346584280271925</v>
      </c>
    </row>
    <row r="34" spans="1:28" x14ac:dyDescent="0.25">
      <c r="A34" s="41">
        <v>22</v>
      </c>
      <c r="B34" s="42">
        <v>39596</v>
      </c>
      <c r="C34" s="43"/>
      <c r="D34" s="55">
        <v>70</v>
      </c>
      <c r="E34" s="41">
        <v>5</v>
      </c>
      <c r="F34" s="72">
        <f>+'[1]Con 5hP4'!E55</f>
        <v>2.5191146881287727</v>
      </c>
      <c r="G34" s="47">
        <f t="shared" si="1"/>
        <v>12.595573440643864</v>
      </c>
      <c r="H34" s="47">
        <f>+F34/G83</f>
        <v>3.3387200861880462E-3</v>
      </c>
      <c r="I34" s="48">
        <f>+G34/G83</f>
        <v>1.6693600430940231E-2</v>
      </c>
      <c r="J34" s="49">
        <f t="shared" si="0"/>
        <v>1.1685520301658161</v>
      </c>
      <c r="K34" s="45">
        <f t="shared" si="15"/>
        <v>3.3387200861880464</v>
      </c>
      <c r="L34" s="50">
        <f t="shared" si="2"/>
        <v>0.39308176100628933</v>
      </c>
      <c r="M34" s="101">
        <f t="shared" si="3"/>
        <v>0.60294750792933771</v>
      </c>
      <c r="N34" s="50">
        <f t="shared" si="4"/>
        <v>0.36649262571537244</v>
      </c>
      <c r="O34" s="50">
        <f t="shared" si="5"/>
        <v>0.27469747012922513</v>
      </c>
      <c r="P34" s="50">
        <f t="shared" si="6"/>
        <v>0.30777907412852251</v>
      </c>
      <c r="Q34" s="50">
        <f t="shared" si="7"/>
        <v>0.63622693623460291</v>
      </c>
      <c r="R34" s="50">
        <f t="shared" si="13"/>
        <v>1.1075203483252867E-3</v>
      </c>
      <c r="S34" s="102">
        <f t="shared" si="8"/>
        <v>20.984225352112674</v>
      </c>
      <c r="T34" s="50">
        <f t="shared" si="9"/>
        <v>1.6787380281690139</v>
      </c>
      <c r="U34" s="50">
        <f t="shared" si="10"/>
        <v>1.6787380281690139</v>
      </c>
      <c r="V34" s="101">
        <f t="shared" si="14"/>
        <v>175.97384305835013</v>
      </c>
      <c r="W34" s="50">
        <f t="shared" si="11"/>
        <v>23.32277596314853</v>
      </c>
      <c r="X34" s="77"/>
      <c r="Y34" s="105"/>
      <c r="Z34" s="106"/>
      <c r="AB34" s="54">
        <f t="shared" si="12"/>
        <v>0.76677224036851466</v>
      </c>
    </row>
    <row r="35" spans="1:28" x14ac:dyDescent="0.25">
      <c r="A35" s="41">
        <v>23</v>
      </c>
      <c r="B35" s="42">
        <v>39596</v>
      </c>
      <c r="C35" s="43"/>
      <c r="D35" s="55">
        <v>75</v>
      </c>
      <c r="E35" s="41">
        <v>5</v>
      </c>
      <c r="F35" s="72">
        <f>+'[1]Con 5hP4'!E56</f>
        <v>2.3581488933601609</v>
      </c>
      <c r="G35" s="47">
        <f t="shared" si="1"/>
        <v>11.790744466800804</v>
      </c>
      <c r="H35" s="47">
        <f>+F35/G83</f>
        <v>3.1253833394667648E-3</v>
      </c>
      <c r="I35" s="48">
        <f>+G35/G83</f>
        <v>1.5626916697333824E-2</v>
      </c>
      <c r="J35" s="49">
        <f t="shared" si="0"/>
        <v>1.1720187523000367</v>
      </c>
      <c r="K35" s="45">
        <f t="shared" si="15"/>
        <v>3.1253833394667647</v>
      </c>
      <c r="L35" s="50">
        <f t="shared" si="2"/>
        <v>0.42115902964959573</v>
      </c>
      <c r="M35" s="101">
        <f t="shared" si="3"/>
        <v>0.56442051061755882</v>
      </c>
      <c r="N35" s="50">
        <f t="shared" si="4"/>
        <v>0.3753099568801152</v>
      </c>
      <c r="O35" s="50">
        <f t="shared" si="5"/>
        <v>0.27740404661373153</v>
      </c>
      <c r="P35" s="50">
        <f t="shared" si="6"/>
        <v>0.35610138375686151</v>
      </c>
      <c r="Q35" s="50">
        <f t="shared" si="7"/>
        <v>0.62954033560076805</v>
      </c>
      <c r="R35" s="50">
        <f t="shared" si="13"/>
        <v>4.2405916058438006E-3</v>
      </c>
      <c r="S35" s="102">
        <f t="shared" si="8"/>
        <v>19.643380281690138</v>
      </c>
      <c r="T35" s="50">
        <f t="shared" si="9"/>
        <v>1.5714704225352112</v>
      </c>
      <c r="U35" s="50">
        <f t="shared" si="10"/>
        <v>1.5714704225352112</v>
      </c>
      <c r="V35" s="101">
        <f t="shared" si="14"/>
        <v>187.76458752515094</v>
      </c>
      <c r="W35" s="50">
        <f t="shared" si="11"/>
        <v>24.885467820407936</v>
      </c>
      <c r="X35" s="77"/>
      <c r="Y35" s="106"/>
      <c r="AB35" s="54">
        <f t="shared" si="12"/>
        <v>0.75114532179592064</v>
      </c>
    </row>
    <row r="36" spans="1:28" x14ac:dyDescent="0.25">
      <c r="A36" s="41">
        <v>24</v>
      </c>
      <c r="B36" s="42">
        <v>39596</v>
      </c>
      <c r="C36" s="43"/>
      <c r="D36" s="55">
        <v>80</v>
      </c>
      <c r="E36" s="41">
        <v>5</v>
      </c>
      <c r="F36" s="72">
        <f>+'[1]Con 5hP4'!E57</f>
        <v>2.408450704225352</v>
      </c>
      <c r="G36" s="47">
        <f t="shared" si="1"/>
        <v>12.04225352112676</v>
      </c>
      <c r="H36" s="47">
        <f>+F36/G83</f>
        <v>3.1920510728171655E-3</v>
      </c>
      <c r="I36" s="48">
        <f>+G36/G83</f>
        <v>1.5960255364085827E-2</v>
      </c>
      <c r="J36" s="49">
        <f t="shared" si="0"/>
        <v>1.2768204291268661</v>
      </c>
      <c r="K36" s="45">
        <f t="shared" si="15"/>
        <v>3.1920510728171654</v>
      </c>
      <c r="L36" s="50">
        <f t="shared" si="2"/>
        <v>0.44923629829290213</v>
      </c>
      <c r="M36" s="101">
        <f t="shared" si="3"/>
        <v>0.57646019727748976</v>
      </c>
      <c r="N36" s="50">
        <f t="shared" si="4"/>
        <v>0.38390694936162789</v>
      </c>
      <c r="O36" s="50">
        <f t="shared" si="5"/>
        <v>0.28000724593359139</v>
      </c>
      <c r="P36" s="50">
        <f t="shared" si="6"/>
        <v>0.40192384961986721</v>
      </c>
      <c r="Q36" s="50">
        <f t="shared" si="7"/>
        <v>0.62173756001936176</v>
      </c>
      <c r="R36" s="50">
        <f t="shared" si="13"/>
        <v>2.0500395768590584E-3</v>
      </c>
      <c r="S36" s="102">
        <f t="shared" si="8"/>
        <v>20.062394366197182</v>
      </c>
      <c r="T36" s="50">
        <f t="shared" si="9"/>
        <v>1.6049915492957745</v>
      </c>
      <c r="U36" s="50">
        <f t="shared" si="10"/>
        <v>1.6049915492957745</v>
      </c>
      <c r="V36" s="101">
        <f t="shared" si="14"/>
        <v>199.8068410462777</v>
      </c>
      <c r="W36" s="50">
        <f t="shared" si="11"/>
        <v>26.481493548342673</v>
      </c>
      <c r="X36" s="77"/>
      <c r="Y36" s="106"/>
      <c r="AB36" s="54">
        <f t="shared" si="12"/>
        <v>0.73518506451657328</v>
      </c>
    </row>
    <row r="37" spans="1:28" x14ac:dyDescent="0.25">
      <c r="A37" s="41">
        <v>25</v>
      </c>
      <c r="B37" s="42">
        <v>39596</v>
      </c>
      <c r="C37" s="43"/>
      <c r="D37" s="55">
        <v>85</v>
      </c>
      <c r="E37" s="41">
        <v>5</v>
      </c>
      <c r="F37" s="72">
        <f>+'[1]Con 5hP4'!E58</f>
        <v>2.5191146881287727</v>
      </c>
      <c r="G37" s="47">
        <f t="shared" si="1"/>
        <v>12.595573440643864</v>
      </c>
      <c r="H37" s="47">
        <f>+F37/G83</f>
        <v>3.3387200861880462E-3</v>
      </c>
      <c r="I37" s="48">
        <f>+G37/G83</f>
        <v>1.6693600430940231E-2</v>
      </c>
      <c r="J37" s="49">
        <f t="shared" si="0"/>
        <v>1.4189560366299196</v>
      </c>
      <c r="K37" s="45">
        <f t="shared" si="15"/>
        <v>3.3387200861880464</v>
      </c>
      <c r="L37" s="50">
        <f t="shared" si="2"/>
        <v>0.47731356693620847</v>
      </c>
      <c r="M37" s="101">
        <f t="shared" si="3"/>
        <v>0.60294750792933771</v>
      </c>
      <c r="N37" s="50">
        <f t="shared" si="4"/>
        <v>0.39225898714025476</v>
      </c>
      <c r="O37" s="50">
        <f t="shared" si="5"/>
        <v>0.28250366973627117</v>
      </c>
      <c r="P37" s="50">
        <f t="shared" si="6"/>
        <v>0.44453133611008333</v>
      </c>
      <c r="Q37" s="50">
        <f t="shared" si="7"/>
        <v>0.61300376202396356</v>
      </c>
      <c r="R37" s="50">
        <f t="shared" si="13"/>
        <v>1.0112824641567916E-4</v>
      </c>
      <c r="S37" s="102">
        <f t="shared" si="8"/>
        <v>20.984225352112674</v>
      </c>
      <c r="T37" s="50">
        <f t="shared" si="9"/>
        <v>1.6787380281690139</v>
      </c>
      <c r="U37" s="50">
        <f t="shared" si="10"/>
        <v>1.6787380281690139</v>
      </c>
      <c r="V37" s="101">
        <f t="shared" si="14"/>
        <v>212.40241448692157</v>
      </c>
      <c r="W37" s="50">
        <f t="shared" si="11"/>
        <v>28.150853791763129</v>
      </c>
      <c r="X37" s="77"/>
      <c r="Y37" s="105"/>
      <c r="AB37" s="54">
        <f t="shared" si="12"/>
        <v>0.71849146208236869</v>
      </c>
    </row>
    <row r="38" spans="1:28" x14ac:dyDescent="0.25">
      <c r="A38" s="41">
        <v>26</v>
      </c>
      <c r="B38" s="42">
        <v>39596</v>
      </c>
      <c r="C38" s="43"/>
      <c r="D38" s="55">
        <v>90</v>
      </c>
      <c r="E38" s="41">
        <v>5</v>
      </c>
      <c r="F38" s="72">
        <f>+'[1]Con 5hP4'!E59</f>
        <v>2.5995975855130786</v>
      </c>
      <c r="G38" s="47">
        <f t="shared" si="1"/>
        <v>12.997987927565394</v>
      </c>
      <c r="H38" s="47">
        <f>+F38/G83</f>
        <v>3.4453884595486866E-3</v>
      </c>
      <c r="I38" s="48">
        <f>+G38/G83</f>
        <v>1.7226942297743433E-2</v>
      </c>
      <c r="J38" s="49">
        <f t="shared" si="0"/>
        <v>1.5504248067969089</v>
      </c>
      <c r="K38" s="45">
        <f t="shared" si="15"/>
        <v>3.4453884595486866</v>
      </c>
      <c r="L38" s="50">
        <f t="shared" si="2"/>
        <v>0.50539083557951492</v>
      </c>
      <c r="M38" s="101">
        <f t="shared" si="3"/>
        <v>0.6222110065852271</v>
      </c>
      <c r="N38" s="50">
        <f t="shared" si="4"/>
        <v>0.4003417406717395</v>
      </c>
      <c r="O38" s="50">
        <f t="shared" si="5"/>
        <v>0.28489003795340873</v>
      </c>
      <c r="P38" s="50">
        <f t="shared" si="6"/>
        <v>0.48346216321013169</v>
      </c>
      <c r="Q38" s="50">
        <f t="shared" si="7"/>
        <v>0.60349667710841803</v>
      </c>
      <c r="R38" s="50">
        <f t="shared" si="13"/>
        <v>3.5022612776656472E-4</v>
      </c>
      <c r="S38" s="102">
        <f t="shared" si="8"/>
        <v>21.654647887323947</v>
      </c>
      <c r="T38" s="50">
        <f t="shared" si="9"/>
        <v>1.7323718309859157</v>
      </c>
      <c r="U38" s="50">
        <f t="shared" si="10"/>
        <v>1.7323718309859157</v>
      </c>
      <c r="V38" s="101">
        <f t="shared" si="14"/>
        <v>225.40040241448696</v>
      </c>
      <c r="W38" s="50">
        <f t="shared" si="11"/>
        <v>29.873548228264113</v>
      </c>
      <c r="AB38" s="54">
        <f t="shared" si="12"/>
        <v>0.70126451771735887</v>
      </c>
    </row>
    <row r="39" spans="1:28" x14ac:dyDescent="0.25">
      <c r="A39" s="41">
        <v>27</v>
      </c>
      <c r="B39" s="42">
        <v>39596</v>
      </c>
      <c r="C39" s="43"/>
      <c r="D39" s="55">
        <v>95</v>
      </c>
      <c r="E39" s="41">
        <v>5</v>
      </c>
      <c r="F39" s="72">
        <f>+'[1]Con 5hP4'!E60</f>
        <v>2.6700201207243461</v>
      </c>
      <c r="G39" s="47">
        <f t="shared" si="1"/>
        <v>13.35010060362173</v>
      </c>
      <c r="H39" s="47">
        <f>+F39/G83</f>
        <v>3.5387232862392468E-3</v>
      </c>
      <c r="I39" s="48">
        <f>+G39/G83</f>
        <v>1.7693616431196234E-2</v>
      </c>
      <c r="J39" s="49">
        <f t="shared" si="0"/>
        <v>1.6808935609636422</v>
      </c>
      <c r="K39" s="45">
        <f t="shared" si="15"/>
        <v>3.538723286239247</v>
      </c>
      <c r="L39" s="50">
        <f t="shared" si="2"/>
        <v>0.5334681042228212</v>
      </c>
      <c r="M39" s="101">
        <f t="shared" si="3"/>
        <v>0.6390665679091303</v>
      </c>
      <c r="N39" s="50">
        <f t="shared" si="4"/>
        <v>0.4081312837783494</v>
      </c>
      <c r="O39" s="50">
        <f t="shared" si="5"/>
        <v>0.28716319597228923</v>
      </c>
      <c r="P39" s="50">
        <f t="shared" si="6"/>
        <v>0.51845839553670137</v>
      </c>
      <c r="Q39" s="50">
        <f t="shared" si="7"/>
        <v>0.59335149610911631</v>
      </c>
      <c r="R39" s="50">
        <f t="shared" si="13"/>
        <v>2.0898677896804348E-3</v>
      </c>
      <c r="S39" s="102">
        <f t="shared" si="8"/>
        <v>22.241267605633801</v>
      </c>
      <c r="T39" s="50">
        <f t="shared" si="9"/>
        <v>1.7793014084507039</v>
      </c>
      <c r="U39" s="50">
        <f t="shared" si="10"/>
        <v>1.7793014084507039</v>
      </c>
      <c r="V39" s="101">
        <f t="shared" si="14"/>
        <v>238.7505030181087</v>
      </c>
      <c r="W39" s="50">
        <f t="shared" si="11"/>
        <v>31.642910083710557</v>
      </c>
      <c r="X39" s="77"/>
      <c r="Y39" s="66"/>
      <c r="AB39" s="54">
        <f t="shared" si="12"/>
        <v>0.68357089916289437</v>
      </c>
    </row>
    <row r="40" spans="1:28" x14ac:dyDescent="0.25">
      <c r="A40" s="41">
        <v>28</v>
      </c>
      <c r="B40" s="42">
        <v>39596</v>
      </c>
      <c r="C40" s="43"/>
      <c r="D40" s="55">
        <v>100</v>
      </c>
      <c r="E40" s="41">
        <v>5</v>
      </c>
      <c r="F40" s="72">
        <f>+'[1]Con 5hP4'!E61</f>
        <v>2.5995975855130786</v>
      </c>
      <c r="G40" s="47">
        <f t="shared" si="1"/>
        <v>12.997987927565394</v>
      </c>
      <c r="H40" s="47">
        <f>+F40/G83</f>
        <v>3.4453884595486866E-3</v>
      </c>
      <c r="I40" s="48">
        <f>+G40/G83</f>
        <v>1.7226942297743433E-2</v>
      </c>
      <c r="J40" s="49">
        <f t="shared" si="0"/>
        <v>1.7226942297743433</v>
      </c>
      <c r="K40" s="45">
        <f t="shared" si="15"/>
        <v>3.4453884595486866</v>
      </c>
      <c r="L40" s="50">
        <f t="shared" si="2"/>
        <v>0.5615453728661276</v>
      </c>
      <c r="M40" s="101">
        <f t="shared" si="3"/>
        <v>0.6222110065852271</v>
      </c>
      <c r="N40" s="50">
        <f t="shared" si="4"/>
        <v>0.41560421072234777</v>
      </c>
      <c r="O40" s="50">
        <f t="shared" si="5"/>
        <v>0.28932012157716752</v>
      </c>
      <c r="P40" s="50">
        <f t="shared" si="6"/>
        <v>0.54942034754050217</v>
      </c>
      <c r="Q40" s="50">
        <f t="shared" si="7"/>
        <v>0.58268466458407497</v>
      </c>
      <c r="R40" s="50">
        <f t="shared" si="13"/>
        <v>1.5623317119920427E-3</v>
      </c>
      <c r="S40" s="102">
        <f t="shared" si="8"/>
        <v>21.654647887323947</v>
      </c>
      <c r="T40" s="50">
        <f t="shared" si="9"/>
        <v>1.7323718309859157</v>
      </c>
      <c r="U40" s="50">
        <f t="shared" si="10"/>
        <v>1.7323718309859157</v>
      </c>
      <c r="V40" s="101">
        <f t="shared" si="14"/>
        <v>251.74849094567409</v>
      </c>
      <c r="W40" s="50">
        <f t="shared" si="11"/>
        <v>33.365604520211541</v>
      </c>
      <c r="X40" s="19"/>
      <c r="Y40" s="3"/>
      <c r="AB40" s="54">
        <f t="shared" si="12"/>
        <v>0.66634395479788466</v>
      </c>
    </row>
    <row r="41" spans="1:28" x14ac:dyDescent="0.25">
      <c r="A41" s="41">
        <v>29</v>
      </c>
      <c r="B41" s="42">
        <v>39596</v>
      </c>
      <c r="C41" s="43"/>
      <c r="D41" s="55">
        <v>105</v>
      </c>
      <c r="E41" s="41">
        <v>5</v>
      </c>
      <c r="F41" s="72">
        <f>+'[1]Con 5hP4'!E62</f>
        <v>2.4989939637826963</v>
      </c>
      <c r="G41" s="47">
        <f t="shared" si="1"/>
        <v>12.494969818913482</v>
      </c>
      <c r="H41" s="47">
        <f>+F41/G83</f>
        <v>3.3120529928478862E-3</v>
      </c>
      <c r="I41" s="48">
        <f>+G41/G83</f>
        <v>1.6560264964239433E-2</v>
      </c>
      <c r="J41" s="49">
        <f t="shared" si="0"/>
        <v>1.7388278212451405</v>
      </c>
      <c r="K41" s="45">
        <f t="shared" si="15"/>
        <v>3.3120529928478861</v>
      </c>
      <c r="L41" s="50">
        <f t="shared" si="2"/>
        <v>0.589622641509434</v>
      </c>
      <c r="M41" s="101">
        <f t="shared" si="3"/>
        <v>0.59813163326536534</v>
      </c>
      <c r="N41" s="50">
        <f t="shared" si="4"/>
        <v>0.42273775266757158</v>
      </c>
      <c r="O41" s="50">
        <f t="shared" si="5"/>
        <v>0.29135793163908325</v>
      </c>
      <c r="P41" s="50">
        <f t="shared" si="6"/>
        <v>0.57636745370904541</v>
      </c>
      <c r="Q41" s="50">
        <f t="shared" si="7"/>
        <v>0.57159689080783471</v>
      </c>
      <c r="R41" s="50">
        <f t="shared" si="13"/>
        <v>7.0409255728747834E-4</v>
      </c>
      <c r="S41" s="102">
        <f t="shared" si="8"/>
        <v>20.816619718309859</v>
      </c>
      <c r="T41" s="50">
        <f t="shared" si="9"/>
        <v>1.6653295774647887</v>
      </c>
      <c r="U41" s="50">
        <f t="shared" si="10"/>
        <v>1.6653295774647887</v>
      </c>
      <c r="V41" s="101">
        <f t="shared" si="14"/>
        <v>264.24346076458755</v>
      </c>
      <c r="W41" s="50">
        <f t="shared" si="11"/>
        <v>35.021631215361865</v>
      </c>
      <c r="X41" s="77"/>
      <c r="Y41" s="66"/>
      <c r="AB41" s="54">
        <f t="shared" si="12"/>
        <v>0.64978368784638141</v>
      </c>
    </row>
    <row r="42" spans="1:28" x14ac:dyDescent="0.25">
      <c r="A42" s="41">
        <v>30</v>
      </c>
      <c r="B42" s="42">
        <v>39596</v>
      </c>
      <c r="C42" s="43"/>
      <c r="D42" s="55">
        <v>110</v>
      </c>
      <c r="E42" s="41">
        <v>5</v>
      </c>
      <c r="F42" s="72">
        <f>+'[1]Con 5hP4'!E63</f>
        <v>2.3782696177062372</v>
      </c>
      <c r="G42" s="47">
        <f t="shared" si="1"/>
        <v>11.891348088531187</v>
      </c>
      <c r="H42" s="47">
        <f>+F42/G83</f>
        <v>3.1520504328069248E-3</v>
      </c>
      <c r="I42" s="48">
        <f>+G42/G83</f>
        <v>1.5760252164034625E-2</v>
      </c>
      <c r="J42" s="49">
        <f t="shared" si="0"/>
        <v>1.7336277380438088</v>
      </c>
      <c r="K42" s="45">
        <f t="shared" si="15"/>
        <v>3.152050432806925</v>
      </c>
      <c r="L42" s="50">
        <f t="shared" si="2"/>
        <v>0.61769991015274039</v>
      </c>
      <c r="M42" s="101">
        <f t="shared" si="3"/>
        <v>0.5692363852815312</v>
      </c>
      <c r="N42" s="50">
        <f t="shared" si="4"/>
        <v>0.42950989272383661</v>
      </c>
      <c r="O42" s="50">
        <f t="shared" si="5"/>
        <v>0.29327388853346076</v>
      </c>
      <c r="P42" s="50">
        <f t="shared" si="6"/>
        <v>0.59940593730252778</v>
      </c>
      <c r="Q42" s="50">
        <f t="shared" si="7"/>
        <v>0.56017555947187769</v>
      </c>
      <c r="R42" s="50">
        <f t="shared" si="13"/>
        <v>8.209856435288311E-5</v>
      </c>
      <c r="S42" s="102">
        <f t="shared" si="8"/>
        <v>19.810985915492957</v>
      </c>
      <c r="T42" s="50">
        <f t="shared" si="9"/>
        <v>1.5848788732394365</v>
      </c>
      <c r="U42" s="50">
        <f t="shared" si="10"/>
        <v>1.5848788732394365</v>
      </c>
      <c r="V42" s="101">
        <f t="shared" si="14"/>
        <v>276.13480885311873</v>
      </c>
      <c r="W42" s="50">
        <f t="shared" si="11"/>
        <v>36.597656620891399</v>
      </c>
      <c r="X42" s="19"/>
      <c r="Y42" s="3"/>
      <c r="AB42" s="54">
        <f t="shared" si="12"/>
        <v>0.63402343379108594</v>
      </c>
    </row>
    <row r="43" spans="1:28" x14ac:dyDescent="0.25">
      <c r="A43" s="41">
        <v>31</v>
      </c>
      <c r="B43" s="42">
        <v>39596</v>
      </c>
      <c r="C43" s="43"/>
      <c r="D43" s="55">
        <v>115</v>
      </c>
      <c r="E43" s="41">
        <v>5</v>
      </c>
      <c r="F43" s="72">
        <f>+'[1]Con 5hP4'!E64</f>
        <v>2.4486921529175052</v>
      </c>
      <c r="G43" s="47">
        <f t="shared" si="1"/>
        <v>12.243460764587526</v>
      </c>
      <c r="H43" s="47">
        <f>+F43/G83</f>
        <v>3.2453852594974859E-3</v>
      </c>
      <c r="I43" s="48">
        <f>+G43/G83</f>
        <v>1.622692629748743E-2</v>
      </c>
      <c r="J43" s="49">
        <f t="shared" si="0"/>
        <v>1.8660965242110543</v>
      </c>
      <c r="K43" s="45">
        <f t="shared" si="15"/>
        <v>3.2453852594974859</v>
      </c>
      <c r="L43" s="50">
        <f t="shared" si="2"/>
        <v>0.64577717879604679</v>
      </c>
      <c r="M43" s="101">
        <f t="shared" si="3"/>
        <v>0.58609194660543451</v>
      </c>
      <c r="N43" s="50">
        <f t="shared" si="4"/>
        <v>0.43589947876495305</v>
      </c>
      <c r="O43" s="50">
        <f t="shared" si="5"/>
        <v>0.29506540626551114</v>
      </c>
      <c r="P43" s="50">
        <f t="shared" si="6"/>
        <v>0.61870285037068473</v>
      </c>
      <c r="Q43" s="50">
        <f t="shared" si="7"/>
        <v>0.54849669184080097</v>
      </c>
      <c r="R43" s="50">
        <f t="shared" si="13"/>
        <v>1.4134031808177012E-3</v>
      </c>
      <c r="S43" s="102">
        <f t="shared" si="8"/>
        <v>20.397605633802819</v>
      </c>
      <c r="T43" s="50">
        <f t="shared" si="9"/>
        <v>1.6318084507042256</v>
      </c>
      <c r="U43" s="50">
        <f t="shared" si="10"/>
        <v>1.6318084507042256</v>
      </c>
      <c r="V43" s="101">
        <f t="shared" si="14"/>
        <v>288.37826961770628</v>
      </c>
      <c r="W43" s="50">
        <f t="shared" si="11"/>
        <v>38.220349445366395</v>
      </c>
      <c r="X43" s="19"/>
      <c r="Y43" s="3"/>
      <c r="AB43" s="54">
        <f t="shared" si="12"/>
        <v>0.61779650554633603</v>
      </c>
    </row>
    <row r="44" spans="1:28" x14ac:dyDescent="0.25">
      <c r="A44" s="41">
        <v>32</v>
      </c>
      <c r="B44" s="42">
        <v>39596</v>
      </c>
      <c r="C44" s="43"/>
      <c r="D44" s="55">
        <v>120</v>
      </c>
      <c r="E44" s="41">
        <v>5</v>
      </c>
      <c r="F44" s="72">
        <f>+'[1]Con 5hP4'!E65</f>
        <v>2.3380281690140845</v>
      </c>
      <c r="G44" s="47">
        <f t="shared" si="1"/>
        <v>11.690140845070422</v>
      </c>
      <c r="H44" s="47">
        <f>+F44/G83</f>
        <v>3.0987162461266048E-3</v>
      </c>
      <c r="I44" s="48">
        <f>+G44/G83</f>
        <v>1.5493581230633024E-2</v>
      </c>
      <c r="J44" s="49">
        <f t="shared" si="0"/>
        <v>1.8592297476759629</v>
      </c>
      <c r="K44" s="45">
        <f t="shared" si="15"/>
        <v>3.0987162461266049</v>
      </c>
      <c r="L44" s="50">
        <f t="shared" si="2"/>
        <v>0.67385444743935319</v>
      </c>
      <c r="M44" s="101">
        <f t="shared" si="3"/>
        <v>0.55960463595358656</v>
      </c>
      <c r="N44" s="50">
        <f t="shared" si="4"/>
        <v>0.44188633321446774</v>
      </c>
      <c r="O44" s="50">
        <f t="shared" si="5"/>
        <v>0.29673005628426358</v>
      </c>
      <c r="P44" s="50">
        <f t="shared" si="6"/>
        <v>0.63446568942802839</v>
      </c>
      <c r="Q44" s="50">
        <f t="shared" si="7"/>
        <v>0.53662655472138487</v>
      </c>
      <c r="R44" s="50">
        <f t="shared" si="13"/>
        <v>5.2799221711365932E-4</v>
      </c>
      <c r="S44" s="102">
        <f t="shared" si="8"/>
        <v>19.475774647887324</v>
      </c>
      <c r="T44" s="50">
        <f t="shared" si="9"/>
        <v>1.5580619718309858</v>
      </c>
      <c r="U44" s="50">
        <f t="shared" si="10"/>
        <v>1.5580619718309858</v>
      </c>
      <c r="V44" s="101">
        <f t="shared" si="14"/>
        <v>300.06841046277668</v>
      </c>
      <c r="W44" s="50">
        <f t="shared" si="11"/>
        <v>39.769707754355672</v>
      </c>
      <c r="X44" s="19"/>
      <c r="Y44" s="3"/>
      <c r="AB44" s="54">
        <f t="shared" si="12"/>
        <v>0.60230292245644335</v>
      </c>
    </row>
    <row r="45" spans="1:28" x14ac:dyDescent="0.25">
      <c r="A45" s="41">
        <v>33</v>
      </c>
      <c r="B45" s="42">
        <v>39596</v>
      </c>
      <c r="C45" s="43"/>
      <c r="D45" s="55">
        <v>130</v>
      </c>
      <c r="E45" s="41">
        <v>10</v>
      </c>
      <c r="F45" s="72">
        <f>+'[1]Con 5hP4'!E66</f>
        <v>2.2474849094567406</v>
      </c>
      <c r="G45" s="47">
        <f t="shared" si="1"/>
        <v>22.474849094567407</v>
      </c>
      <c r="H45" s="47">
        <f>+F45/G83</f>
        <v>2.9787143260958846E-3</v>
      </c>
      <c r="I45" s="48">
        <f>+G45/G83</f>
        <v>2.978714326095885E-2</v>
      </c>
      <c r="J45" s="49">
        <f t="shared" si="0"/>
        <v>3.8723286239246506</v>
      </c>
      <c r="K45" s="45">
        <f t="shared" si="15"/>
        <v>2.9787143260958846</v>
      </c>
      <c r="L45" s="50">
        <f t="shared" si="2"/>
        <v>0.73000898472596587</v>
      </c>
      <c r="M45" s="101">
        <f t="shared" si="3"/>
        <v>0.53793319996571098</v>
      </c>
      <c r="N45" s="50">
        <f t="shared" si="4"/>
        <v>0.45257664092670485</v>
      </c>
      <c r="O45" s="50">
        <f t="shared" si="5"/>
        <v>0.29966985875631053</v>
      </c>
      <c r="P45" s="50">
        <f t="shared" si="6"/>
        <v>0.65633094800542857</v>
      </c>
      <c r="Q45" s="50">
        <f t="shared" si="7"/>
        <v>0.5125365489021646</v>
      </c>
      <c r="R45" s="50">
        <f t="shared" si="13"/>
        <v>6.4498988524353158E-4</v>
      </c>
      <c r="S45" s="102">
        <f t="shared" si="8"/>
        <v>37.443098591549301</v>
      </c>
      <c r="T45" s="50">
        <f t="shared" si="9"/>
        <v>2.9954478873239441</v>
      </c>
      <c r="U45" s="50">
        <f t="shared" si="10"/>
        <v>2.9954478873239441</v>
      </c>
      <c r="V45" s="101">
        <f t="shared" si="14"/>
        <v>322.54325955734407</v>
      </c>
      <c r="W45" s="50">
        <f t="shared" si="11"/>
        <v>42.748422437903031</v>
      </c>
      <c r="X45" s="77"/>
      <c r="Y45" s="105"/>
      <c r="AB45" s="54">
        <f t="shared" si="12"/>
        <v>0.57251577562096967</v>
      </c>
    </row>
    <row r="46" spans="1:28" x14ac:dyDescent="0.25">
      <c r="A46" s="41">
        <v>34</v>
      </c>
      <c r="B46" s="42">
        <v>39596</v>
      </c>
      <c r="C46" s="43"/>
      <c r="D46" s="55">
        <v>140</v>
      </c>
      <c r="E46" s="41">
        <v>10</v>
      </c>
      <c r="F46" s="72">
        <f>+'[1]Con 5hP4'!E67</f>
        <v>2.0462776659959756</v>
      </c>
      <c r="G46" s="47">
        <f t="shared" si="1"/>
        <v>20.462776659959758</v>
      </c>
      <c r="H46" s="47">
        <f>+F46/G83</f>
        <v>2.7120433926942833E-3</v>
      </c>
      <c r="I46" s="48">
        <f>+G46/G83</f>
        <v>2.7120433926942834E-2</v>
      </c>
      <c r="J46" s="49">
        <f t="shared" si="0"/>
        <v>3.7968607497719966</v>
      </c>
      <c r="K46" s="45">
        <f t="shared" si="15"/>
        <v>2.7120433926942833</v>
      </c>
      <c r="L46" s="50">
        <f t="shared" si="2"/>
        <v>0.78616352201257866</v>
      </c>
      <c r="M46" s="101">
        <f t="shared" si="3"/>
        <v>0.48977445332598746</v>
      </c>
      <c r="N46" s="50">
        <f t="shared" si="4"/>
        <v>0.46144279156314266</v>
      </c>
      <c r="O46" s="50">
        <f t="shared" si="5"/>
        <v>0.3020772160201261</v>
      </c>
      <c r="P46" s="50">
        <f t="shared" si="6"/>
        <v>0.666963314647808</v>
      </c>
      <c r="Q46" s="50">
        <f t="shared" si="7"/>
        <v>0.48828612523550097</v>
      </c>
      <c r="R46" s="50">
        <f t="shared" si="13"/>
        <v>2.2151205049311628E-6</v>
      </c>
      <c r="S46" s="102">
        <f t="shared" si="8"/>
        <v>34.090985915492951</v>
      </c>
      <c r="T46" s="50">
        <f t="shared" si="9"/>
        <v>2.727278873239436</v>
      </c>
      <c r="U46" s="50">
        <f t="shared" si="10"/>
        <v>2.727278873239436</v>
      </c>
      <c r="V46" s="101">
        <f t="shared" si="14"/>
        <v>343.00603621730386</v>
      </c>
      <c r="W46" s="50">
        <f t="shared" si="11"/>
        <v>45.460466156047772</v>
      </c>
      <c r="X46" s="77"/>
      <c r="Y46" s="66"/>
      <c r="AB46" s="54">
        <f t="shared" si="12"/>
        <v>0.54539533843952226</v>
      </c>
    </row>
    <row r="47" spans="1:28" x14ac:dyDescent="0.25">
      <c r="A47" s="41">
        <v>35</v>
      </c>
      <c r="B47" s="42">
        <v>39596</v>
      </c>
      <c r="C47" s="43"/>
      <c r="D47" s="55">
        <v>150</v>
      </c>
      <c r="E47" s="41">
        <v>10</v>
      </c>
      <c r="F47" s="72">
        <f>+'[1]Con 5hP4'!E68</f>
        <v>2.0261569416498992</v>
      </c>
      <c r="G47" s="47">
        <f t="shared" si="1"/>
        <v>20.261569416498993</v>
      </c>
      <c r="H47" s="47">
        <f>+F47/G83</f>
        <v>2.6853762993541233E-3</v>
      </c>
      <c r="I47" s="48">
        <f>+G47/G83</f>
        <v>2.6853762993541232E-2</v>
      </c>
      <c r="J47" s="49">
        <f t="shared" si="0"/>
        <v>4.0280644490311843</v>
      </c>
      <c r="K47" s="45">
        <f t="shared" si="15"/>
        <v>2.6853762993541235</v>
      </c>
      <c r="L47" s="50">
        <f t="shared" si="2"/>
        <v>0.84231805929919146</v>
      </c>
      <c r="M47" s="101">
        <f t="shared" si="3"/>
        <v>0.48495857866201514</v>
      </c>
      <c r="N47" s="50">
        <f t="shared" si="4"/>
        <v>0.4683685913294145</v>
      </c>
      <c r="O47" s="50">
        <f t="shared" si="5"/>
        <v>0.30393888077067988</v>
      </c>
      <c r="P47" s="50">
        <f t="shared" si="6"/>
        <v>0.66830118180040188</v>
      </c>
      <c r="Q47" s="50">
        <f t="shared" si="7"/>
        <v>0.46416580464272794</v>
      </c>
      <c r="R47" s="50">
        <f t="shared" si="13"/>
        <v>4.3233945141714467E-4</v>
      </c>
      <c r="S47" s="102">
        <f t="shared" si="8"/>
        <v>33.755774647887321</v>
      </c>
      <c r="T47" s="50">
        <f t="shared" si="9"/>
        <v>2.7004619718309857</v>
      </c>
      <c r="U47" s="50">
        <f t="shared" si="10"/>
        <v>2.7004619718309857</v>
      </c>
      <c r="V47" s="101">
        <f t="shared" si="14"/>
        <v>363.26760563380287</v>
      </c>
      <c r="W47" s="50">
        <f t="shared" si="11"/>
        <v>48.145842777652248</v>
      </c>
      <c r="X47" s="71"/>
      <c r="AB47" s="54">
        <f t="shared" si="12"/>
        <v>0.51854157222347752</v>
      </c>
    </row>
    <row r="48" spans="1:28" x14ac:dyDescent="0.25">
      <c r="A48" s="41">
        <v>36</v>
      </c>
      <c r="B48" s="42">
        <v>39596</v>
      </c>
      <c r="C48" s="43"/>
      <c r="D48" s="55">
        <v>160</v>
      </c>
      <c r="E48" s="41">
        <v>10</v>
      </c>
      <c r="F48" s="72">
        <f>+'[1]Con 5hP4'!E69</f>
        <v>1.8953722334004024</v>
      </c>
      <c r="G48" s="47">
        <f t="shared" si="1"/>
        <v>18.953722334004024</v>
      </c>
      <c r="H48" s="47">
        <f>+F48/G83</f>
        <v>2.5120401926430826E-3</v>
      </c>
      <c r="I48" s="48">
        <f>+G48/G83</f>
        <v>2.5120401926430825E-2</v>
      </c>
      <c r="J48" s="49">
        <f t="shared" si="0"/>
        <v>4.0192643082289319</v>
      </c>
      <c r="K48" s="45">
        <f t="shared" si="15"/>
        <v>2.5120401926430826</v>
      </c>
      <c r="L48" s="50">
        <f t="shared" si="2"/>
        <v>0.89847259658580425</v>
      </c>
      <c r="M48" s="101">
        <f t="shared" si="3"/>
        <v>0.45365539334619492</v>
      </c>
      <c r="N48" s="50">
        <f t="shared" si="4"/>
        <v>0.4732622103415407</v>
      </c>
      <c r="O48" s="50">
        <f t="shared" si="5"/>
        <v>0.30524455974292114</v>
      </c>
      <c r="P48" s="50">
        <f t="shared" si="6"/>
        <v>0.66213097988324343</v>
      </c>
      <c r="Q48" s="50">
        <f t="shared" si="7"/>
        <v>0.44039657763915274</v>
      </c>
      <c r="R48" s="50">
        <f t="shared" si="13"/>
        <v>1.7579619395330847E-4</v>
      </c>
      <c r="S48" s="102">
        <f t="shared" si="8"/>
        <v>31.576901408450702</v>
      </c>
      <c r="T48" s="50">
        <f t="shared" si="9"/>
        <v>2.5261521126760562</v>
      </c>
      <c r="U48" s="50">
        <f t="shared" si="10"/>
        <v>2.5261521126760562</v>
      </c>
      <c r="V48" s="101">
        <f t="shared" si="14"/>
        <v>382.22132796780687</v>
      </c>
      <c r="W48" s="50">
        <f t="shared" si="11"/>
        <v>50.657883271745007</v>
      </c>
      <c r="X48" s="77">
        <f>+(((50-W47)*(D48-D47))/(W48-W47))+D47</f>
        <v>157.38108014861996</v>
      </c>
      <c r="Y48" s="66" t="s">
        <v>77</v>
      </c>
      <c r="AB48" s="54">
        <f t="shared" si="12"/>
        <v>0.49342116728254992</v>
      </c>
    </row>
    <row r="49" spans="1:28" x14ac:dyDescent="0.25">
      <c r="A49" s="41">
        <v>37</v>
      </c>
      <c r="B49" s="42">
        <v>39596</v>
      </c>
      <c r="C49" s="43"/>
      <c r="D49" s="55">
        <v>170</v>
      </c>
      <c r="E49" s="41">
        <v>10</v>
      </c>
      <c r="F49" s="67">
        <f>+'[1]Con 5hP4'!E70</f>
        <v>1.8148893360160965</v>
      </c>
      <c r="G49" s="47">
        <f t="shared" si="1"/>
        <v>18.148893360160965</v>
      </c>
      <c r="H49" s="47">
        <f>+F49/G83</f>
        <v>2.4053718192824421E-3</v>
      </c>
      <c r="I49" s="48">
        <f>+G49/G83</f>
        <v>2.4053718192824421E-2</v>
      </c>
      <c r="J49" s="49">
        <f t="shared" si="0"/>
        <v>4.0891320927801518</v>
      </c>
      <c r="K49" s="45">
        <f t="shared" si="15"/>
        <v>2.405371819282442</v>
      </c>
      <c r="L49" s="50">
        <f t="shared" si="2"/>
        <v>0.95462713387241693</v>
      </c>
      <c r="M49" s="101">
        <f t="shared" si="3"/>
        <v>0.43439189469030554</v>
      </c>
      <c r="N49" s="50">
        <f t="shared" si="4"/>
        <v>0.47605820871486232</v>
      </c>
      <c r="O49" s="50">
        <f t="shared" si="5"/>
        <v>0.30598700850529725</v>
      </c>
      <c r="P49" s="50">
        <f t="shared" si="6"/>
        <v>0.65003206045549444</v>
      </c>
      <c r="Q49" s="50">
        <f t="shared" si="7"/>
        <v>0.41714517082178715</v>
      </c>
      <c r="R49" s="50">
        <f t="shared" si="13"/>
        <v>2.9744948419692185E-4</v>
      </c>
      <c r="S49" s="102">
        <f t="shared" si="8"/>
        <v>30.236056338028167</v>
      </c>
      <c r="T49" s="50">
        <f t="shared" si="9"/>
        <v>2.4188845070422533</v>
      </c>
      <c r="U49" s="50">
        <f t="shared" si="10"/>
        <v>2.4188845070422533</v>
      </c>
      <c r="V49" s="101">
        <f t="shared" si="14"/>
        <v>400.37022132796784</v>
      </c>
      <c r="W49" s="50">
        <f t="shared" si="11"/>
        <v>53.063255379676718</v>
      </c>
      <c r="X49" s="73">
        <f>+((([1]Resumen!N12-F48)*(D49-D48))/(F49-F48))+D48</f>
        <v>160.875</v>
      </c>
      <c r="Y49" s="74" t="s">
        <v>78</v>
      </c>
      <c r="AB49" s="54">
        <f t="shared" si="12"/>
        <v>0.46936744620323279</v>
      </c>
    </row>
    <row r="50" spans="1:28" x14ac:dyDescent="0.25">
      <c r="A50" s="41">
        <v>38</v>
      </c>
      <c r="B50" s="42">
        <v>39596</v>
      </c>
      <c r="C50" s="43"/>
      <c r="D50" s="55">
        <v>180</v>
      </c>
      <c r="E50" s="41">
        <v>10</v>
      </c>
      <c r="F50" s="67">
        <f>+'[1]Con 5hP4'!E71</f>
        <v>1.704225352112676</v>
      </c>
      <c r="G50" s="47">
        <f t="shared" si="1"/>
        <v>17.04225352112676</v>
      </c>
      <c r="H50" s="47">
        <f>+F50/G83</f>
        <v>2.2587028059115615E-3</v>
      </c>
      <c r="I50" s="48">
        <f>+G50/G83</f>
        <v>2.2587028059115614E-2</v>
      </c>
      <c r="J50" s="49">
        <f t="shared" si="0"/>
        <v>4.0656650506408107</v>
      </c>
      <c r="K50" s="45">
        <f t="shared" si="15"/>
        <v>2.2587028059115615</v>
      </c>
      <c r="L50" s="50">
        <f t="shared" si="2"/>
        <v>1.0107816711590298</v>
      </c>
      <c r="M50" s="101">
        <f t="shared" si="3"/>
        <v>0.40790458403845764</v>
      </c>
      <c r="N50" s="50">
        <f t="shared" si="4"/>
        <v>0.47671899285003644</v>
      </c>
      <c r="O50" s="50">
        <f t="shared" si="5"/>
        <v>0.30616209840985653</v>
      </c>
      <c r="P50" s="50">
        <f t="shared" si="6"/>
        <v>0.63336307166986627</v>
      </c>
      <c r="Q50" s="50">
        <f t="shared" si="7"/>
        <v>0.3945356148088181</v>
      </c>
      <c r="R50" s="50">
        <f t="shared" si="13"/>
        <v>1.7872933826304879E-4</v>
      </c>
      <c r="S50" s="102">
        <f t="shared" si="8"/>
        <v>28.39239436619718</v>
      </c>
      <c r="T50" s="50">
        <f t="shared" si="9"/>
        <v>2.2713915492957746</v>
      </c>
      <c r="U50" s="50">
        <f t="shared" si="10"/>
        <v>2.2713915492957746</v>
      </c>
      <c r="V50" s="101">
        <f t="shared" si="14"/>
        <v>417.41247484909462</v>
      </c>
      <c r="W50" s="50">
        <f t="shared" si="11"/>
        <v>55.321958456636999</v>
      </c>
      <c r="X50" s="19"/>
      <c r="Y50" s="3"/>
      <c r="AB50" s="54">
        <f t="shared" si="12"/>
        <v>0.44678041543363001</v>
      </c>
    </row>
    <row r="51" spans="1:28" x14ac:dyDescent="0.25">
      <c r="A51" s="41">
        <v>39</v>
      </c>
      <c r="B51" s="42">
        <v>39596</v>
      </c>
      <c r="C51" s="41"/>
      <c r="D51" s="55">
        <v>190</v>
      </c>
      <c r="E51" s="41">
        <v>10</v>
      </c>
      <c r="F51" s="67">
        <f>+'[1]Con 5hP4'!E72</f>
        <v>1.6136820925553321</v>
      </c>
      <c r="G51" s="47">
        <f t="shared" si="1"/>
        <v>16.136820925553323</v>
      </c>
      <c r="H51" s="47">
        <f>+F51/G83</f>
        <v>2.1387008858808412E-3</v>
      </c>
      <c r="I51" s="48">
        <f>+G51/G83</f>
        <v>2.1387008858808416E-2</v>
      </c>
      <c r="J51" s="49">
        <f t="shared" si="0"/>
        <v>4.0635316831735988</v>
      </c>
      <c r="K51" s="45">
        <f t="shared" si="15"/>
        <v>2.1387008858808412</v>
      </c>
      <c r="L51" s="50">
        <f t="shared" si="2"/>
        <v>1.0669362084456424</v>
      </c>
      <c r="M51" s="101">
        <f t="shared" si="3"/>
        <v>0.38623314805058212</v>
      </c>
      <c r="N51" s="50">
        <f t="shared" si="4"/>
        <v>0.47523565661356643</v>
      </c>
      <c r="O51" s="50">
        <f t="shared" si="5"/>
        <v>0.30576885483325816</v>
      </c>
      <c r="P51" s="50">
        <f t="shared" si="6"/>
        <v>0.61327036159318637</v>
      </c>
      <c r="Q51" s="50">
        <f t="shared" si="7"/>
        <v>0.37265814796622387</v>
      </c>
      <c r="R51" s="50">
        <f t="shared" si="13"/>
        <v>1.8428062729032639E-4</v>
      </c>
      <c r="S51" s="102">
        <f t="shared" si="8"/>
        <v>26.883943661971834</v>
      </c>
      <c r="T51" s="50">
        <f t="shared" si="9"/>
        <v>2.1507154929577466</v>
      </c>
      <c r="U51" s="50">
        <f t="shared" si="10"/>
        <v>2.1507154929577466</v>
      </c>
      <c r="V51" s="101">
        <f t="shared" si="14"/>
        <v>433.54929577464793</v>
      </c>
      <c r="W51" s="50">
        <f t="shared" si="11"/>
        <v>57.460659599166078</v>
      </c>
      <c r="X51" s="77"/>
      <c r="Y51" s="105"/>
      <c r="AB51" s="54">
        <f t="shared" si="12"/>
        <v>0.42539340400833925</v>
      </c>
    </row>
    <row r="52" spans="1:28" x14ac:dyDescent="0.25">
      <c r="A52" s="41">
        <v>40</v>
      </c>
      <c r="B52" s="42">
        <v>39596</v>
      </c>
      <c r="C52" s="41"/>
      <c r="D52" s="55">
        <v>200</v>
      </c>
      <c r="E52" s="41">
        <v>10</v>
      </c>
      <c r="F52" s="67">
        <f>+'[1]Con 5hP4'!E73</f>
        <v>1.5935613682092555</v>
      </c>
      <c r="G52" s="47">
        <f t="shared" si="1"/>
        <v>15.935613682092555</v>
      </c>
      <c r="H52" s="47">
        <f>+F52/G83</f>
        <v>2.1120337925406808E-3</v>
      </c>
      <c r="I52" s="48">
        <f>+G52/G83</f>
        <v>2.112033792540681E-2</v>
      </c>
      <c r="J52" s="49">
        <f t="shared" si="0"/>
        <v>4.2240675850813618</v>
      </c>
      <c r="K52" s="45">
        <f t="shared" si="15"/>
        <v>2.1120337925406809</v>
      </c>
      <c r="L52" s="50">
        <f t="shared" si="2"/>
        <v>1.1230907457322552</v>
      </c>
      <c r="M52" s="101">
        <f t="shared" si="3"/>
        <v>0.38141727338660975</v>
      </c>
      <c r="N52" s="50">
        <f t="shared" si="4"/>
        <v>0.4716281811015447</v>
      </c>
      <c r="O52" s="50">
        <f t="shared" si="5"/>
        <v>0.30480946621311211</v>
      </c>
      <c r="P52" s="50">
        <f t="shared" si="6"/>
        <v>0.5907069675845994</v>
      </c>
      <c r="Q52" s="50">
        <f t="shared" si="7"/>
        <v>0.3515761591499964</v>
      </c>
      <c r="R52" s="50">
        <f t="shared" si="13"/>
        <v>8.904920988826075E-4</v>
      </c>
      <c r="S52" s="102">
        <f t="shared" si="8"/>
        <v>26.548732394366198</v>
      </c>
      <c r="T52" s="50">
        <f t="shared" si="9"/>
        <v>2.1238985915492958</v>
      </c>
      <c r="U52" s="50">
        <f t="shared" si="10"/>
        <v>2.1238985915492958</v>
      </c>
      <c r="V52" s="101">
        <f t="shared" si="14"/>
        <v>449.48490945674047</v>
      </c>
      <c r="W52" s="50">
        <f t="shared" si="11"/>
        <v>59.572693645154892</v>
      </c>
      <c r="X52" s="19"/>
      <c r="AB52" s="54">
        <f t="shared" si="12"/>
        <v>0.40427306354845105</v>
      </c>
    </row>
    <row r="53" spans="1:28" x14ac:dyDescent="0.25">
      <c r="A53" s="41">
        <v>41</v>
      </c>
      <c r="B53" s="42">
        <v>39596</v>
      </c>
      <c r="C53" s="41"/>
      <c r="D53" s="55">
        <v>210</v>
      </c>
      <c r="E53" s="41">
        <v>10</v>
      </c>
      <c r="F53" s="67">
        <f>+'[1]Con 5hP4'!E74</f>
        <v>1.5533199195171026</v>
      </c>
      <c r="G53" s="47">
        <f t="shared" si="1"/>
        <v>15.533199195171026</v>
      </c>
      <c r="H53" s="47">
        <f>+F53/G83</f>
        <v>2.0586996058603608E-3</v>
      </c>
      <c r="I53" s="48">
        <f>+G53/G83</f>
        <v>2.0586996058603604E-2</v>
      </c>
      <c r="J53" s="49">
        <f t="shared" si="0"/>
        <v>4.3232691723067571</v>
      </c>
      <c r="K53" s="45">
        <f t="shared" si="15"/>
        <v>2.0586996058603608</v>
      </c>
      <c r="L53" s="50">
        <f t="shared" si="2"/>
        <v>1.179245283018868</v>
      </c>
      <c r="M53" s="101">
        <f t="shared" si="3"/>
        <v>0.37178552405866505</v>
      </c>
      <c r="N53" s="50">
        <f t="shared" si="4"/>
        <v>0.4659449867230383</v>
      </c>
      <c r="O53" s="50">
        <f t="shared" si="5"/>
        <v>0.30328926376242821</v>
      </c>
      <c r="P53" s="50">
        <f t="shared" si="6"/>
        <v>0.56645566650776846</v>
      </c>
      <c r="Q53" s="50">
        <f t="shared" si="7"/>
        <v>0.33133166003868292</v>
      </c>
      <c r="R53" s="50">
        <f t="shared" si="13"/>
        <v>1.636515114147205E-3</v>
      </c>
      <c r="S53" s="102">
        <f t="shared" si="8"/>
        <v>25.878309859154925</v>
      </c>
      <c r="T53" s="50">
        <f t="shared" si="9"/>
        <v>2.0702647887323939</v>
      </c>
      <c r="U53" s="50">
        <f t="shared" si="10"/>
        <v>2.0702647887323939</v>
      </c>
      <c r="V53" s="101">
        <f t="shared" si="14"/>
        <v>465.01810865191152</v>
      </c>
      <c r="W53" s="50">
        <f t="shared" si="11"/>
        <v>61.63139349806319</v>
      </c>
      <c r="X53" s="77"/>
      <c r="Y53" s="66"/>
      <c r="AB53" s="54">
        <f t="shared" si="12"/>
        <v>0.38368606501936808</v>
      </c>
    </row>
    <row r="54" spans="1:28" x14ac:dyDescent="0.25">
      <c r="A54" s="41">
        <v>42</v>
      </c>
      <c r="B54" s="42">
        <v>39596</v>
      </c>
      <c r="C54" s="41"/>
      <c r="D54" s="55">
        <v>220</v>
      </c>
      <c r="E54" s="41">
        <v>10</v>
      </c>
      <c r="F54" s="67">
        <f>+'[1]Con 5hP4'!E75</f>
        <v>1.4124748490945673</v>
      </c>
      <c r="G54" s="47">
        <f t="shared" si="1"/>
        <v>14.124748490945674</v>
      </c>
      <c r="H54" s="47">
        <f>+F54/G83</f>
        <v>1.8720299524792397E-3</v>
      </c>
      <c r="I54" s="48">
        <f>+G54/G83</f>
        <v>1.87202995247924E-2</v>
      </c>
      <c r="J54" s="49">
        <f t="shared" si="0"/>
        <v>4.1184658954543281</v>
      </c>
      <c r="K54" s="45">
        <f t="shared" si="15"/>
        <v>1.8720299524792396</v>
      </c>
      <c r="L54" s="50">
        <f t="shared" si="2"/>
        <v>1.2353998203054808</v>
      </c>
      <c r="M54" s="101">
        <f t="shared" si="3"/>
        <v>0.33807440141085865</v>
      </c>
      <c r="N54" s="50">
        <f t="shared" si="4"/>
        <v>0.45826185163943134</v>
      </c>
      <c r="O54" s="50">
        <f t="shared" si="5"/>
        <v>0.30121667212526043</v>
      </c>
      <c r="P54" s="50">
        <f t="shared" si="6"/>
        <v>0.54115250938072312</v>
      </c>
      <c r="Q54" s="50">
        <f t="shared" si="7"/>
        <v>0.31194963710263257</v>
      </c>
      <c r="R54" s="50">
        <f t="shared" si="13"/>
        <v>6.8250331016036321E-4</v>
      </c>
      <c r="S54" s="102">
        <f t="shared" si="8"/>
        <v>23.531830985915491</v>
      </c>
      <c r="T54" s="50">
        <f t="shared" si="9"/>
        <v>1.8825464788732391</v>
      </c>
      <c r="U54" s="50">
        <f t="shared" si="10"/>
        <v>1.8825464788732391</v>
      </c>
      <c r="V54" s="101">
        <f t="shared" si="14"/>
        <v>479.14285714285717</v>
      </c>
      <c r="W54" s="50">
        <f t="shared" si="11"/>
        <v>63.503423675189651</v>
      </c>
      <c r="X54" s="19"/>
      <c r="AB54" s="54">
        <f t="shared" si="12"/>
        <v>0.36496576324810348</v>
      </c>
    </row>
    <row r="55" spans="1:28" x14ac:dyDescent="0.25">
      <c r="A55" s="41">
        <v>43</v>
      </c>
      <c r="B55" s="42">
        <v>39596</v>
      </c>
      <c r="C55" s="41"/>
      <c r="D55" s="55">
        <v>230</v>
      </c>
      <c r="E55" s="41">
        <v>10</v>
      </c>
      <c r="F55" s="67">
        <f>+'[1]Con 5hP4'!E76</f>
        <v>1.4325955734406439</v>
      </c>
      <c r="G55" s="47">
        <f t="shared" si="1"/>
        <v>14.325955734406438</v>
      </c>
      <c r="H55" s="47">
        <f>+F55/G83</f>
        <v>1.8986970458194001E-3</v>
      </c>
      <c r="I55" s="48">
        <f>+G55/G83</f>
        <v>1.8986970458193999E-2</v>
      </c>
      <c r="J55" s="49">
        <f t="shared" si="0"/>
        <v>4.3670032053846199</v>
      </c>
      <c r="K55" s="45">
        <f t="shared" si="15"/>
        <v>1.8986970458194001</v>
      </c>
      <c r="L55" s="50">
        <f t="shared" si="2"/>
        <v>1.2915543575920936</v>
      </c>
      <c r="M55" s="101">
        <f t="shared" si="3"/>
        <v>0.34289027607483102</v>
      </c>
      <c r="N55" s="50">
        <f t="shared" si="4"/>
        <v>0.44868023033123866</v>
      </c>
      <c r="O55" s="50">
        <f t="shared" si="5"/>
        <v>0.29860313161255797</v>
      </c>
      <c r="P55" s="50">
        <f t="shared" si="6"/>
        <v>0.51530900043692829</v>
      </c>
      <c r="Q55" s="50">
        <f t="shared" si="7"/>
        <v>0.29344153801228667</v>
      </c>
      <c r="R55" s="50">
        <f t="shared" si="13"/>
        <v>2.4451776959781226E-3</v>
      </c>
      <c r="S55" s="102">
        <f t="shared" si="8"/>
        <v>23.867042253521124</v>
      </c>
      <c r="T55" s="50">
        <f t="shared" si="9"/>
        <v>1.9093633802816898</v>
      </c>
      <c r="U55" s="50">
        <f t="shared" si="10"/>
        <v>1.9093633802816898</v>
      </c>
      <c r="V55" s="101">
        <f t="shared" si="14"/>
        <v>493.46881287726359</v>
      </c>
      <c r="W55" s="50">
        <f t="shared" si="11"/>
        <v>65.402120948856364</v>
      </c>
      <c r="X55" s="19"/>
      <c r="AB55" s="54">
        <f t="shared" si="12"/>
        <v>0.34597879051143632</v>
      </c>
    </row>
    <row r="56" spans="1:28" x14ac:dyDescent="0.25">
      <c r="A56" s="41">
        <v>44</v>
      </c>
      <c r="B56" s="42">
        <v>39596</v>
      </c>
      <c r="C56" s="41"/>
      <c r="D56" s="55">
        <v>240</v>
      </c>
      <c r="E56" s="41">
        <v>10</v>
      </c>
      <c r="F56" s="67">
        <f>+'[1]Con 5hP4'!E77</f>
        <v>1.3420523138833</v>
      </c>
      <c r="G56" s="47">
        <f t="shared" si="1"/>
        <v>13.420523138833001</v>
      </c>
      <c r="H56" s="47">
        <f>+F56/G83</f>
        <v>1.7786951257886799E-3</v>
      </c>
      <c r="I56" s="48">
        <f>+G56/G83</f>
        <v>1.7786951257886797E-2</v>
      </c>
      <c r="J56" s="49">
        <f t="shared" si="0"/>
        <v>4.2688683018928311</v>
      </c>
      <c r="K56" s="45">
        <f t="shared" si="15"/>
        <v>1.7786951257886798</v>
      </c>
      <c r="L56" s="50">
        <f t="shared" si="2"/>
        <v>1.3477088948787064</v>
      </c>
      <c r="M56" s="101">
        <f t="shared" si="3"/>
        <v>0.3212188400869555</v>
      </c>
      <c r="N56" s="50">
        <f t="shared" si="4"/>
        <v>0.43732502444533783</v>
      </c>
      <c r="O56" s="50">
        <f t="shared" si="5"/>
        <v>0.29546299302252477</v>
      </c>
      <c r="P56" s="50">
        <f t="shared" si="6"/>
        <v>0.48933208248351567</v>
      </c>
      <c r="Q56" s="50">
        <f t="shared" si="7"/>
        <v>0.27580808126218026</v>
      </c>
      <c r="R56" s="50">
        <f t="shared" si="13"/>
        <v>2.0621370170419025E-3</v>
      </c>
      <c r="S56" s="102">
        <f t="shared" si="8"/>
        <v>22.358591549295777</v>
      </c>
      <c r="T56" s="50">
        <f t="shared" si="9"/>
        <v>1.788687323943662</v>
      </c>
      <c r="U56" s="50">
        <f t="shared" si="10"/>
        <v>1.788687323943662</v>
      </c>
      <c r="V56" s="101">
        <f t="shared" si="14"/>
        <v>506.88933601609659</v>
      </c>
      <c r="W56" s="50">
        <f t="shared" si="11"/>
        <v>67.180816288091904</v>
      </c>
      <c r="X56" s="19"/>
      <c r="AB56" s="54">
        <f t="shared" si="12"/>
        <v>0.32819183711908095</v>
      </c>
    </row>
    <row r="57" spans="1:28" x14ac:dyDescent="0.25">
      <c r="A57" s="41">
        <v>45</v>
      </c>
      <c r="B57" s="42">
        <v>39596</v>
      </c>
      <c r="C57" s="41"/>
      <c r="D57" s="55">
        <v>255</v>
      </c>
      <c r="E57" s="41">
        <f>+D57-D56</f>
        <v>15</v>
      </c>
      <c r="F57" s="67">
        <f>+'[1]Con 5hP4'!E78</f>
        <v>1.2012072434607646</v>
      </c>
      <c r="G57" s="47">
        <f t="shared" si="1"/>
        <v>18.018108651911469</v>
      </c>
      <c r="H57" s="47">
        <f>+F57/G83</f>
        <v>1.5920254724075588E-3</v>
      </c>
      <c r="I57" s="48">
        <f>+G57/G83</f>
        <v>2.3880382086113379E-2</v>
      </c>
      <c r="J57" s="49">
        <f t="shared" si="0"/>
        <v>6.0894974319589119</v>
      </c>
      <c r="K57" s="45">
        <f t="shared" si="15"/>
        <v>1.5920254724075589</v>
      </c>
      <c r="L57" s="50">
        <f t="shared" si="2"/>
        <v>1.4319407008086256</v>
      </c>
      <c r="M57" s="101">
        <f t="shared" si="3"/>
        <v>0.28750771743914899</v>
      </c>
      <c r="N57" s="50">
        <f t="shared" si="4"/>
        <v>0.41729024606533222</v>
      </c>
      <c r="O57" s="50">
        <f t="shared" si="5"/>
        <v>0.28980360783245007</v>
      </c>
      <c r="P57" s="50">
        <f t="shared" si="6"/>
        <v>0.4507962948899914</v>
      </c>
      <c r="Q57" s="50">
        <f t="shared" si="7"/>
        <v>0.25097907907712241</v>
      </c>
      <c r="R57" s="50">
        <f t="shared" si="13"/>
        <v>1.3343414205837197E-3</v>
      </c>
      <c r="S57" s="102">
        <f t="shared" si="8"/>
        <v>30.018169014084506</v>
      </c>
      <c r="T57" s="50">
        <f t="shared" si="9"/>
        <v>2.4014535211267605</v>
      </c>
      <c r="U57" s="50">
        <f t="shared" si="10"/>
        <v>2.4014535211267605</v>
      </c>
      <c r="V57" s="101">
        <f t="shared" si="14"/>
        <v>524.90744466800811</v>
      </c>
      <c r="W57" s="50">
        <f t="shared" si="11"/>
        <v>69.568854783272442</v>
      </c>
      <c r="X57" s="19"/>
      <c r="AB57" s="54">
        <f t="shared" si="12"/>
        <v>0.30431145216727562</v>
      </c>
    </row>
    <row r="58" spans="1:28" x14ac:dyDescent="0.25">
      <c r="A58" s="41">
        <v>46</v>
      </c>
      <c r="B58" s="42">
        <v>39596</v>
      </c>
      <c r="C58" s="41"/>
      <c r="D58" s="55">
        <v>270</v>
      </c>
      <c r="E58" s="41">
        <f t="shared" ref="E58:E80" si="16">+D58-D57</f>
        <v>15</v>
      </c>
      <c r="F58" s="67">
        <f>+'[1]Con 5hP4'!E79</f>
        <v>1.1710261569416498</v>
      </c>
      <c r="G58" s="47">
        <f t="shared" si="1"/>
        <v>17.565392354124747</v>
      </c>
      <c r="H58" s="47">
        <f>+F58/G83</f>
        <v>1.5520248323973183E-3</v>
      </c>
      <c r="I58" s="48">
        <f>+G58/G83</f>
        <v>2.3280372485959776E-2</v>
      </c>
      <c r="J58" s="49">
        <f t="shared" si="0"/>
        <v>6.2857005712091398</v>
      </c>
      <c r="K58" s="45">
        <f t="shared" si="15"/>
        <v>1.5520248323973183</v>
      </c>
      <c r="L58" s="50">
        <f t="shared" si="2"/>
        <v>1.5161725067385445</v>
      </c>
      <c r="M58" s="101">
        <f t="shared" si="3"/>
        <v>0.28028390544319048</v>
      </c>
      <c r="N58" s="50">
        <f t="shared" si="4"/>
        <v>0.3941590586735389</v>
      </c>
      <c r="O58" s="50">
        <f t="shared" si="5"/>
        <v>0.28306722928726907</v>
      </c>
      <c r="P58" s="50">
        <f t="shared" si="6"/>
        <v>0.41345280147996116</v>
      </c>
      <c r="Q58" s="50">
        <f t="shared" si="7"/>
        <v>0.22804668519544188</v>
      </c>
      <c r="R58" s="50">
        <f t="shared" si="13"/>
        <v>2.7287271792117962E-3</v>
      </c>
      <c r="S58" s="102">
        <f t="shared" si="8"/>
        <v>29.26394366197183</v>
      </c>
      <c r="T58" s="50">
        <f t="shared" si="9"/>
        <v>2.3411154929577465</v>
      </c>
      <c r="U58" s="50">
        <f t="shared" si="10"/>
        <v>2.3411154929577465</v>
      </c>
      <c r="V58" s="101">
        <f t="shared" si="14"/>
        <v>542.47283702213281</v>
      </c>
      <c r="W58" s="50">
        <f t="shared" si="11"/>
        <v>71.896892311237394</v>
      </c>
      <c r="AB58" s="54">
        <f t="shared" si="12"/>
        <v>0.28103107688762607</v>
      </c>
    </row>
    <row r="59" spans="1:28" x14ac:dyDescent="0.25">
      <c r="A59" s="41">
        <v>47</v>
      </c>
      <c r="B59" s="42">
        <v>39596</v>
      </c>
      <c r="C59" s="41"/>
      <c r="D59" s="55">
        <v>285</v>
      </c>
      <c r="E59" s="41">
        <f t="shared" si="16"/>
        <v>15</v>
      </c>
      <c r="F59" s="67">
        <f>+'[1]Con 5hP4'!E80</f>
        <v>1.0804828973843057</v>
      </c>
      <c r="G59" s="47">
        <f t="shared" si="1"/>
        <v>16.207243460764584</v>
      </c>
      <c r="H59" s="47">
        <f>+F59/G83</f>
        <v>1.4320229123665979E-3</v>
      </c>
      <c r="I59" s="48">
        <f>+G59/G83</f>
        <v>2.1480343685498966E-2</v>
      </c>
      <c r="J59" s="49">
        <f t="shared" si="0"/>
        <v>6.1218979503672051</v>
      </c>
      <c r="K59" s="45">
        <f t="shared" si="15"/>
        <v>1.432022912366598</v>
      </c>
      <c r="L59" s="50">
        <f t="shared" si="2"/>
        <v>1.6004043126684637</v>
      </c>
      <c r="M59" s="101">
        <f t="shared" si="3"/>
        <v>0.25861246945531491</v>
      </c>
      <c r="N59" s="50">
        <f t="shared" si="4"/>
        <v>0.36855657644927425</v>
      </c>
      <c r="O59" s="50">
        <f t="shared" si="5"/>
        <v>0.27533442301987299</v>
      </c>
      <c r="P59" s="50">
        <f t="shared" si="6"/>
        <v>0.37781814045418882</v>
      </c>
      <c r="Q59" s="50">
        <f t="shared" si="7"/>
        <v>0.20693570051066856</v>
      </c>
      <c r="R59" s="50">
        <f t="shared" si="13"/>
        <v>2.6704884485583649E-3</v>
      </c>
      <c r="S59" s="102">
        <f t="shared" si="8"/>
        <v>27.001267605633799</v>
      </c>
      <c r="T59" s="50">
        <f t="shared" si="9"/>
        <v>2.160101408450704</v>
      </c>
      <c r="U59" s="50">
        <f t="shared" si="10"/>
        <v>2.160101408450704</v>
      </c>
      <c r="V59" s="101">
        <f t="shared" si="14"/>
        <v>558.68008048289744</v>
      </c>
      <c r="W59" s="50">
        <f t="shared" si="11"/>
        <v>74.044926937555573</v>
      </c>
      <c r="X59" s="77">
        <f>+(((90-W58)*(D59-D58))/(W59-W58))+D58</f>
        <v>396.41631191806312</v>
      </c>
      <c r="Y59" s="66" t="s">
        <v>79</v>
      </c>
      <c r="AB59" s="54">
        <f t="shared" si="12"/>
        <v>0.25955073062444423</v>
      </c>
    </row>
    <row r="60" spans="1:28" x14ac:dyDescent="0.25">
      <c r="A60" s="41">
        <v>48</v>
      </c>
      <c r="B60" s="42">
        <v>39596</v>
      </c>
      <c r="C60" s="41"/>
      <c r="D60" s="55">
        <v>300</v>
      </c>
      <c r="E60" s="41">
        <f t="shared" si="16"/>
        <v>15</v>
      </c>
      <c r="F60" s="67">
        <f>+'[1]Con 5hP4'!E81</f>
        <v>1.0100603621730382</v>
      </c>
      <c r="G60" s="47">
        <f t="shared" si="1"/>
        <v>15.150905432595573</v>
      </c>
      <c r="H60" s="47">
        <f>+F60/G83</f>
        <v>1.3386880856760376E-3</v>
      </c>
      <c r="I60" s="48">
        <f>+G60/G83</f>
        <v>2.0080321285140566E-2</v>
      </c>
      <c r="J60" s="49">
        <f t="shared" si="0"/>
        <v>6.0240963855421699</v>
      </c>
      <c r="K60" s="45">
        <f t="shared" si="15"/>
        <v>1.3386880856760377</v>
      </c>
      <c r="L60" s="50">
        <f t="shared" si="2"/>
        <v>1.6846361185983829</v>
      </c>
      <c r="M60" s="101">
        <f t="shared" si="3"/>
        <v>0.24175690813141174</v>
      </c>
      <c r="N60" s="50">
        <f t="shared" si="4"/>
        <v>0.34114278638422091</v>
      </c>
      <c r="O60" s="50">
        <f t="shared" si="5"/>
        <v>0.26669602337077841</v>
      </c>
      <c r="P60" s="50">
        <f t="shared" si="6"/>
        <v>0.34420806574063301</v>
      </c>
      <c r="Q60" s="50">
        <f t="shared" si="7"/>
        <v>0.18755621814721543</v>
      </c>
      <c r="R60" s="50">
        <f t="shared" si="13"/>
        <v>2.9377147947629574E-3</v>
      </c>
      <c r="S60" s="102">
        <f t="shared" si="8"/>
        <v>25.241408450704224</v>
      </c>
      <c r="T60" s="50">
        <f t="shared" si="9"/>
        <v>2.0193126760563378</v>
      </c>
      <c r="U60" s="50">
        <f t="shared" si="10"/>
        <v>2.0193126760563378</v>
      </c>
      <c r="V60" s="101">
        <f t="shared" si="14"/>
        <v>573.83098591549299</v>
      </c>
      <c r="W60" s="50">
        <f t="shared" si="11"/>
        <v>76.052959307037369</v>
      </c>
      <c r="AB60" s="54">
        <f t="shared" si="12"/>
        <v>0.23947040692962629</v>
      </c>
    </row>
    <row r="61" spans="1:28" x14ac:dyDescent="0.25">
      <c r="A61" s="41">
        <v>49</v>
      </c>
      <c r="B61" s="42">
        <v>39596</v>
      </c>
      <c r="C61" s="41"/>
      <c r="D61" s="55">
        <v>315</v>
      </c>
      <c r="E61" s="41">
        <f t="shared" si="16"/>
        <v>15</v>
      </c>
      <c r="F61" s="67">
        <f>+'[1]Con 5hP4'!E82</f>
        <v>0.94969818913480897</v>
      </c>
      <c r="G61" s="47">
        <f t="shared" si="1"/>
        <v>14.245472837022135</v>
      </c>
      <c r="H61" s="47">
        <f>+F61/G83</f>
        <v>1.2586868056555574E-3</v>
      </c>
      <c r="I61" s="48">
        <f>+G61/G83</f>
        <v>1.8880302084833361E-2</v>
      </c>
      <c r="J61" s="49">
        <f t="shared" si="0"/>
        <v>5.9472951567225083</v>
      </c>
      <c r="K61" s="45">
        <f t="shared" si="15"/>
        <v>1.2586868056555574</v>
      </c>
      <c r="L61" s="50">
        <f t="shared" si="2"/>
        <v>1.7688679245283021</v>
      </c>
      <c r="M61" s="101">
        <f t="shared" si="3"/>
        <v>0.22730928413949472</v>
      </c>
      <c r="N61" s="50">
        <f t="shared" si="4"/>
        <v>0.31258461152001421</v>
      </c>
      <c r="O61" s="50">
        <f t="shared" si="5"/>
        <v>0.25725136037900498</v>
      </c>
      <c r="P61" s="50">
        <f t="shared" si="6"/>
        <v>0.31279245739230255</v>
      </c>
      <c r="Q61" s="50">
        <f t="shared" si="7"/>
        <v>0.16980959874407361</v>
      </c>
      <c r="R61" s="50">
        <f t="shared" si="13"/>
        <v>3.3062138205724035E-3</v>
      </c>
      <c r="S61" s="102">
        <f t="shared" si="8"/>
        <v>23.732957746478874</v>
      </c>
      <c r="T61" s="50">
        <f t="shared" si="9"/>
        <v>1.89863661971831</v>
      </c>
      <c r="U61" s="50">
        <f t="shared" si="10"/>
        <v>1.89863661971831</v>
      </c>
      <c r="V61" s="101">
        <f t="shared" si="14"/>
        <v>588.07645875251512</v>
      </c>
      <c r="W61" s="50">
        <f t="shared" si="11"/>
        <v>77.940989742087979</v>
      </c>
      <c r="X61" s="77"/>
      <c r="Y61" s="105"/>
      <c r="AB61" s="54">
        <f t="shared" si="12"/>
        <v>0.22059010257912026</v>
      </c>
    </row>
    <row r="62" spans="1:28" x14ac:dyDescent="0.25">
      <c r="A62" s="41">
        <v>50</v>
      </c>
      <c r="B62" s="42">
        <v>39596</v>
      </c>
      <c r="C62" s="41"/>
      <c r="D62" s="55">
        <v>330</v>
      </c>
      <c r="E62" s="41">
        <f t="shared" si="16"/>
        <v>15</v>
      </c>
      <c r="F62" s="67">
        <f>+'[1]Con 5hP4'!E83</f>
        <v>0.86921529175050305</v>
      </c>
      <c r="G62" s="47">
        <f t="shared" si="1"/>
        <v>13.038229376257545</v>
      </c>
      <c r="H62" s="47">
        <f>+F62/G83</f>
        <v>1.152018432294917E-3</v>
      </c>
      <c r="I62" s="48">
        <f>+G62/G83</f>
        <v>1.7280276484423752E-2</v>
      </c>
      <c r="J62" s="49">
        <f t="shared" si="0"/>
        <v>5.702491239859838</v>
      </c>
      <c r="K62" s="45">
        <f t="shared" si="15"/>
        <v>1.152018432294917</v>
      </c>
      <c r="L62" s="50">
        <f t="shared" si="2"/>
        <v>1.8530997304582213</v>
      </c>
      <c r="M62" s="101">
        <f t="shared" si="3"/>
        <v>0.20804578548360533</v>
      </c>
      <c r="N62" s="50">
        <f t="shared" si="4"/>
        <v>0.28352957696594688</v>
      </c>
      <c r="O62" s="50">
        <f t="shared" si="5"/>
        <v>0.24710636448479004</v>
      </c>
      <c r="P62" s="50">
        <f t="shared" si="6"/>
        <v>0.28363670578205513</v>
      </c>
      <c r="Q62" s="50">
        <f t="shared" si="7"/>
        <v>0.15359286223495167</v>
      </c>
      <c r="R62" s="50">
        <f t="shared" si="13"/>
        <v>2.965120850323767E-3</v>
      </c>
      <c r="S62" s="102">
        <f t="shared" si="8"/>
        <v>21.72169014084507</v>
      </c>
      <c r="T62" s="50">
        <f t="shared" si="9"/>
        <v>1.7377352112676054</v>
      </c>
      <c r="U62" s="50">
        <f t="shared" si="10"/>
        <v>1.7377352112676054</v>
      </c>
      <c r="V62" s="101">
        <f t="shared" si="14"/>
        <v>601.11468812877263</v>
      </c>
      <c r="W62" s="50">
        <f t="shared" si="11"/>
        <v>79.66901759789701</v>
      </c>
      <c r="X62" s="77"/>
      <c r="Y62" s="105"/>
      <c r="AB62" s="54">
        <f t="shared" si="12"/>
        <v>0.20330982402102993</v>
      </c>
    </row>
    <row r="63" spans="1:28" x14ac:dyDescent="0.25">
      <c r="A63" s="41">
        <v>51</v>
      </c>
      <c r="B63" s="42">
        <v>39596</v>
      </c>
      <c r="C63" s="41"/>
      <c r="D63" s="55">
        <v>345</v>
      </c>
      <c r="E63" s="41">
        <f t="shared" si="16"/>
        <v>15</v>
      </c>
      <c r="F63" s="67">
        <f>+'[1]Con 5hP4'!E84</f>
        <v>0.82897384305835009</v>
      </c>
      <c r="G63" s="47">
        <f t="shared" si="1"/>
        <v>12.434607645875252</v>
      </c>
      <c r="H63" s="47">
        <f>+F63/G83</f>
        <v>1.0986842456145965E-3</v>
      </c>
      <c r="I63" s="48">
        <f>+G63/G83</f>
        <v>1.6480263684218951E-2</v>
      </c>
      <c r="J63" s="49">
        <f t="shared" si="0"/>
        <v>5.6856909710555383</v>
      </c>
      <c r="K63" s="45">
        <f t="shared" si="15"/>
        <v>1.0986842456145964</v>
      </c>
      <c r="L63" s="50">
        <f t="shared" si="2"/>
        <v>1.9373315363881403</v>
      </c>
      <c r="M63" s="101">
        <f t="shared" si="3"/>
        <v>0.19841403615566064</v>
      </c>
      <c r="N63" s="50">
        <f t="shared" si="4"/>
        <v>0.2545824842968657</v>
      </c>
      <c r="O63" s="50">
        <f t="shared" si="5"/>
        <v>0.23637159933599097</v>
      </c>
      <c r="P63" s="50">
        <f t="shared" si="6"/>
        <v>0.25673268653165454</v>
      </c>
      <c r="Q63" s="50">
        <f t="shared" si="7"/>
        <v>0.13880189286306388</v>
      </c>
      <c r="R63" s="50">
        <f t="shared" si="13"/>
        <v>3.5536076279370889E-3</v>
      </c>
      <c r="S63" s="102">
        <f t="shared" si="8"/>
        <v>20.716056338028171</v>
      </c>
      <c r="T63" s="50">
        <f t="shared" si="9"/>
        <v>1.6572845070422535</v>
      </c>
      <c r="U63" s="50">
        <f t="shared" si="10"/>
        <v>1.6572845070422535</v>
      </c>
      <c r="V63" s="101">
        <f t="shared" si="14"/>
        <v>613.54929577464793</v>
      </c>
      <c r="W63" s="50">
        <f t="shared" si="11"/>
        <v>81.31704416408526</v>
      </c>
      <c r="X63" s="19"/>
      <c r="AB63" s="54">
        <f t="shared" si="12"/>
        <v>0.18682955835914739</v>
      </c>
    </row>
    <row r="64" spans="1:28" x14ac:dyDescent="0.25">
      <c r="A64" s="41">
        <v>52</v>
      </c>
      <c r="B64" s="42">
        <v>39596</v>
      </c>
      <c r="C64" s="41"/>
      <c r="D64" s="55">
        <v>360</v>
      </c>
      <c r="E64" s="41">
        <f>+D64-D63</f>
        <v>15</v>
      </c>
      <c r="F64" s="67">
        <f>+'[1]Con 5hP4'!E85</f>
        <v>0.74849094567404417</v>
      </c>
      <c r="G64" s="47">
        <f t="shared" si="1"/>
        <v>11.227364185110662</v>
      </c>
      <c r="H64" s="47">
        <f>+F64/G83</f>
        <v>9.9201587225395608E-4</v>
      </c>
      <c r="I64" s="48">
        <f>+G64/G83</f>
        <v>1.488023808380934E-2</v>
      </c>
      <c r="J64" s="49">
        <f t="shared" si="0"/>
        <v>5.3568857101713627</v>
      </c>
      <c r="K64" s="45">
        <f t="shared" si="15"/>
        <v>0.99201587225395604</v>
      </c>
      <c r="L64" s="50">
        <f t="shared" si="2"/>
        <v>2.0215633423180597</v>
      </c>
      <c r="M64" s="101">
        <f t="shared" si="3"/>
        <v>0.17915053749977122</v>
      </c>
      <c r="N64" s="50">
        <f t="shared" si="4"/>
        <v>0.22628618712213816</v>
      </c>
      <c r="O64" s="50">
        <f t="shared" si="5"/>
        <v>0.22516027346832476</v>
      </c>
      <c r="P64" s="50">
        <f t="shared" si="6"/>
        <v>0.23202180301399192</v>
      </c>
      <c r="Q64" s="50">
        <f t="shared" si="7"/>
        <v>0.12533375028082916</v>
      </c>
      <c r="R64" s="50">
        <f t="shared" si="13"/>
        <v>2.8962465865688858E-3</v>
      </c>
      <c r="S64" s="102">
        <f t="shared" si="8"/>
        <v>18.704788732394363</v>
      </c>
      <c r="T64" s="50">
        <f t="shared" si="9"/>
        <v>1.4963830985915492</v>
      </c>
      <c r="U64" s="50">
        <f t="shared" si="10"/>
        <v>1.4963830985915492</v>
      </c>
      <c r="V64" s="101">
        <f t="shared" si="14"/>
        <v>624.7766599597586</v>
      </c>
      <c r="W64" s="50">
        <f t="shared" si="11"/>
        <v>82.805068151031932</v>
      </c>
      <c r="X64" s="19"/>
      <c r="AB64" s="54">
        <f t="shared" si="12"/>
        <v>0.17194931848968065</v>
      </c>
    </row>
    <row r="65" spans="1:28" x14ac:dyDescent="0.25">
      <c r="A65" s="41">
        <v>53</v>
      </c>
      <c r="B65" s="42">
        <v>39596</v>
      </c>
      <c r="C65" s="41"/>
      <c r="D65" s="55">
        <v>380</v>
      </c>
      <c r="E65" s="41">
        <f t="shared" si="16"/>
        <v>20</v>
      </c>
      <c r="F65" s="67">
        <f>+'[1]Con 5hP4'!E86</f>
        <v>0.68812877263581473</v>
      </c>
      <c r="G65" s="47">
        <f t="shared" si="1"/>
        <v>13.762575452716295</v>
      </c>
      <c r="H65" s="47">
        <f>+F65/G83</f>
        <v>9.1201459223347564E-4</v>
      </c>
      <c r="I65" s="48">
        <f>+G65/G83</f>
        <v>1.8240291844669514E-2</v>
      </c>
      <c r="J65" s="49">
        <f t="shared" si="0"/>
        <v>6.9313109009744149</v>
      </c>
      <c r="K65" s="45">
        <f t="shared" si="15"/>
        <v>0.91201459223347559</v>
      </c>
      <c r="L65" s="50">
        <f t="shared" si="2"/>
        <v>2.1338724168912848</v>
      </c>
      <c r="M65" s="101">
        <f t="shared" si="3"/>
        <v>0.16470291350785418</v>
      </c>
      <c r="N65" s="50">
        <f t="shared" si="4"/>
        <v>0.19036422119501004</v>
      </c>
      <c r="O65" s="50">
        <f t="shared" si="5"/>
        <v>0.20966723704135276</v>
      </c>
      <c r="P65" s="50">
        <f t="shared" si="6"/>
        <v>0.20232322841618613</v>
      </c>
      <c r="Q65" s="50">
        <f t="shared" si="7"/>
        <v>0.10926144559262579</v>
      </c>
      <c r="R65" s="50">
        <f t="shared" si="13"/>
        <v>3.0737563645952988E-3</v>
      </c>
      <c r="S65" s="102">
        <f t="shared" si="8"/>
        <v>22.928450704225348</v>
      </c>
      <c r="T65" s="50">
        <f t="shared" si="9"/>
        <v>1.834276056338028</v>
      </c>
      <c r="U65" s="50">
        <f t="shared" si="10"/>
        <v>1.834276056338028</v>
      </c>
      <c r="V65" s="101">
        <f t="shared" si="14"/>
        <v>638.53923541247491</v>
      </c>
      <c r="W65" s="50">
        <f t="shared" si="11"/>
        <v>84.629097554385922</v>
      </c>
      <c r="X65" s="77"/>
      <c r="Y65" s="66"/>
      <c r="AB65" s="54">
        <f t="shared" si="12"/>
        <v>0.15370902445614076</v>
      </c>
    </row>
    <row r="66" spans="1:28" x14ac:dyDescent="0.25">
      <c r="A66" s="41">
        <v>54</v>
      </c>
      <c r="B66" s="42">
        <v>39596</v>
      </c>
      <c r="C66" s="41"/>
      <c r="D66" s="55">
        <v>400</v>
      </c>
      <c r="E66" s="41">
        <f t="shared" si="16"/>
        <v>20</v>
      </c>
      <c r="F66" s="67">
        <f>+'[1]Con 5hP4'!E87</f>
        <v>0.64788732394366211</v>
      </c>
      <c r="G66" s="47">
        <f t="shared" si="1"/>
        <v>12.957746478873242</v>
      </c>
      <c r="H66" s="47">
        <f>+F66/G83</f>
        <v>8.5868040555315574E-4</v>
      </c>
      <c r="I66" s="48">
        <f>+G66/G83</f>
        <v>1.7173608111063113E-2</v>
      </c>
      <c r="J66" s="49">
        <f t="shared" si="0"/>
        <v>6.8694432444252458</v>
      </c>
      <c r="K66" s="45">
        <f t="shared" si="15"/>
        <v>0.85868040555315572</v>
      </c>
      <c r="L66" s="50">
        <f t="shared" si="2"/>
        <v>2.2461814914645104</v>
      </c>
      <c r="M66" s="101">
        <f t="shared" si="3"/>
        <v>0.15507116417990954</v>
      </c>
      <c r="N66" s="50">
        <f t="shared" si="4"/>
        <v>0.1572857123309408</v>
      </c>
      <c r="O66" s="50">
        <f t="shared" si="5"/>
        <v>0.19379515178635429</v>
      </c>
      <c r="P66" s="50">
        <f t="shared" si="6"/>
        <v>0.17608578995897517</v>
      </c>
      <c r="Q66" s="50">
        <f t="shared" si="7"/>
        <v>9.5137171923834807E-2</v>
      </c>
      <c r="R66" s="50">
        <f t="shared" si="13"/>
        <v>3.5920834277512266E-3</v>
      </c>
      <c r="S66" s="102">
        <f t="shared" si="8"/>
        <v>21.58760563380282</v>
      </c>
      <c r="T66" s="50">
        <f t="shared" si="9"/>
        <v>1.7270084507042256</v>
      </c>
      <c r="U66" s="50">
        <f t="shared" si="10"/>
        <v>1.7270084507042256</v>
      </c>
      <c r="V66" s="101">
        <f t="shared" si="14"/>
        <v>651.49698189134813</v>
      </c>
      <c r="W66" s="50">
        <f t="shared" si="11"/>
        <v>86.34645857157885</v>
      </c>
      <c r="X66" s="19"/>
      <c r="AB66" s="54">
        <f t="shared" si="12"/>
        <v>0.13653541428421145</v>
      </c>
    </row>
    <row r="67" spans="1:28" x14ac:dyDescent="0.25">
      <c r="A67" s="41">
        <v>55</v>
      </c>
      <c r="B67" s="42">
        <v>39596</v>
      </c>
      <c r="C67" s="41"/>
      <c r="D67" s="55">
        <v>420</v>
      </c>
      <c r="E67" s="41">
        <f>+D67-D66</f>
        <v>20</v>
      </c>
      <c r="F67" s="67">
        <f>+'[1]Con 5hP4'!E88</f>
        <v>0.56740442655935608</v>
      </c>
      <c r="G67" s="47">
        <f t="shared" si="1"/>
        <v>11.348088531187122</v>
      </c>
      <c r="H67" s="47">
        <f>+F67/G83</f>
        <v>7.5201203219251507E-4</v>
      </c>
      <c r="I67" s="48">
        <f>+G67/G83</f>
        <v>1.5040240643850301E-2</v>
      </c>
      <c r="J67" s="49">
        <f t="shared" si="0"/>
        <v>6.316901070417126</v>
      </c>
      <c r="K67" s="45">
        <f t="shared" si="15"/>
        <v>0.75201203219251511</v>
      </c>
      <c r="L67" s="50">
        <f t="shared" si="2"/>
        <v>2.358490566037736</v>
      </c>
      <c r="M67" s="101">
        <f t="shared" si="3"/>
        <v>0.13580766552402013</v>
      </c>
      <c r="N67" s="50">
        <f t="shared" si="4"/>
        <v>0.12763503040231469</v>
      </c>
      <c r="O67" s="50">
        <f t="shared" si="5"/>
        <v>0.17779877931844304</v>
      </c>
      <c r="P67" s="50">
        <f t="shared" si="6"/>
        <v>0.15300707224646057</v>
      </c>
      <c r="Q67" s="50">
        <f t="shared" si="7"/>
        <v>8.2750048215310359E-2</v>
      </c>
      <c r="R67" s="50">
        <f t="shared" si="13"/>
        <v>2.8151107544774983E-3</v>
      </c>
      <c r="S67" s="102">
        <f t="shared" si="8"/>
        <v>18.905915492957742</v>
      </c>
      <c r="T67" s="50">
        <f t="shared" si="9"/>
        <v>1.5124732394366194</v>
      </c>
      <c r="U67" s="50">
        <f t="shared" si="10"/>
        <v>1.5124732394366194</v>
      </c>
      <c r="V67" s="101">
        <f t="shared" si="14"/>
        <v>662.84507042253529</v>
      </c>
      <c r="W67" s="50">
        <f t="shared" si="11"/>
        <v>87.850482816449684</v>
      </c>
      <c r="X67" s="77"/>
      <c r="Y67" s="66"/>
      <c r="AB67" s="54">
        <f t="shared" si="12"/>
        <v>0.12149517183550318</v>
      </c>
    </row>
    <row r="68" spans="1:28" x14ac:dyDescent="0.25">
      <c r="A68" s="41">
        <v>56</v>
      </c>
      <c r="B68" s="42">
        <v>39596</v>
      </c>
      <c r="C68" s="41"/>
      <c r="D68" s="55">
        <v>440</v>
      </c>
      <c r="E68" s="41">
        <f t="shared" si="16"/>
        <v>20</v>
      </c>
      <c r="F68" s="67">
        <f>+'[1]Con 5hP4'!E89</f>
        <v>0.44668008048289737</v>
      </c>
      <c r="G68" s="47">
        <f t="shared" si="1"/>
        <v>8.9336016096579467</v>
      </c>
      <c r="H68" s="47">
        <f>+F68/G83</f>
        <v>5.9200947215155451E-4</v>
      </c>
      <c r="I68" s="48">
        <f>+G68/G83</f>
        <v>1.1840189443031088E-2</v>
      </c>
      <c r="J68" s="49">
        <f t="shared" si="0"/>
        <v>5.209683354933679</v>
      </c>
      <c r="K68" s="45">
        <f t="shared" si="15"/>
        <v>0.59200947215155453</v>
      </c>
      <c r="L68" s="50">
        <f t="shared" si="2"/>
        <v>2.4707996406109616</v>
      </c>
      <c r="M68" s="101">
        <f t="shared" si="3"/>
        <v>0.10691241754018606</v>
      </c>
      <c r="N68" s="50">
        <f t="shared" si="4"/>
        <v>0.10172487484810437</v>
      </c>
      <c r="O68" s="50">
        <f t="shared" si="5"/>
        <v>0.16191540596975357</v>
      </c>
      <c r="P68" s="50">
        <f t="shared" si="6"/>
        <v>0.13277769892970945</v>
      </c>
      <c r="Q68" s="50">
        <f t="shared" si="7"/>
        <v>7.1905862993326963E-2</v>
      </c>
      <c r="R68" s="50">
        <f t="shared" si="13"/>
        <v>1.2254588612422212E-3</v>
      </c>
      <c r="S68" s="102">
        <f t="shared" si="8"/>
        <v>14.88338028169014</v>
      </c>
      <c r="T68" s="50">
        <f t="shared" si="9"/>
        <v>1.1906704225352112</v>
      </c>
      <c r="U68" s="50">
        <f t="shared" si="10"/>
        <v>1.1906704225352112</v>
      </c>
      <c r="V68" s="101">
        <f t="shared" si="14"/>
        <v>671.77867203219319</v>
      </c>
      <c r="W68" s="50">
        <f t="shared" si="11"/>
        <v>89.034501902837349</v>
      </c>
      <c r="X68" s="104"/>
      <c r="Y68" s="105"/>
      <c r="Z68" s="106"/>
      <c r="AB68" s="54">
        <f t="shared" si="12"/>
        <v>0.10965498097162651</v>
      </c>
    </row>
    <row r="69" spans="1:28" x14ac:dyDescent="0.25">
      <c r="A69" s="41">
        <v>57</v>
      </c>
      <c r="B69" s="42">
        <v>39596</v>
      </c>
      <c r="C69" s="41"/>
      <c r="D69" s="55">
        <v>460</v>
      </c>
      <c r="E69" s="41">
        <f t="shared" si="16"/>
        <v>20</v>
      </c>
      <c r="F69" s="67">
        <f>+'[1]Con 5hP4'!E90</f>
        <v>0.44668008048289737</v>
      </c>
      <c r="G69" s="47">
        <f t="shared" si="1"/>
        <v>8.9336016096579467</v>
      </c>
      <c r="H69" s="47">
        <f>+F69/G83</f>
        <v>5.9200947215155451E-4</v>
      </c>
      <c r="I69" s="48">
        <f>+G69/G83</f>
        <v>1.1840189443031088E-2</v>
      </c>
      <c r="J69" s="49">
        <f t="shared" si="0"/>
        <v>5.4464871437943003</v>
      </c>
      <c r="K69" s="45">
        <f t="shared" si="15"/>
        <v>0.59200947215155453</v>
      </c>
      <c r="L69" s="50">
        <f t="shared" si="2"/>
        <v>2.5831087151841872</v>
      </c>
      <c r="M69" s="101">
        <f t="shared" si="3"/>
        <v>0.10691241754018606</v>
      </c>
      <c r="N69" s="50">
        <f t="shared" si="4"/>
        <v>7.9627138248048263E-2</v>
      </c>
      <c r="O69" s="50">
        <f t="shared" si="5"/>
        <v>0.1463595623975964</v>
      </c>
      <c r="P69" s="50">
        <f t="shared" si="6"/>
        <v>0.11509606573194618</v>
      </c>
      <c r="Q69" s="50">
        <f t="shared" si="7"/>
        <v>6.2427494855267406E-2</v>
      </c>
      <c r="R69" s="50">
        <f t="shared" si="13"/>
        <v>1.9789083462831902E-3</v>
      </c>
      <c r="S69" s="102">
        <f t="shared" si="8"/>
        <v>14.88338028169014</v>
      </c>
      <c r="T69" s="50">
        <f t="shared" si="9"/>
        <v>1.1906704225352112</v>
      </c>
      <c r="U69" s="50">
        <f t="shared" si="10"/>
        <v>1.1906704225352112</v>
      </c>
      <c r="V69" s="101">
        <f t="shared" si="14"/>
        <v>680.71227364185108</v>
      </c>
      <c r="W69" s="50">
        <f t="shared" si="11"/>
        <v>90.218520989225013</v>
      </c>
      <c r="X69" s="77">
        <f>+(((90-W68)*(D69-D68))/(W69-W68))+D68</f>
        <v>456.30882657657656</v>
      </c>
      <c r="Y69" s="66" t="s">
        <v>79</v>
      </c>
      <c r="AB69" s="54">
        <f t="shared" si="12"/>
        <v>9.7814790107749849E-2</v>
      </c>
    </row>
    <row r="70" spans="1:28" x14ac:dyDescent="0.25">
      <c r="A70" s="41">
        <v>58</v>
      </c>
      <c r="B70" s="42">
        <v>39596</v>
      </c>
      <c r="C70" s="41"/>
      <c r="D70" s="55">
        <v>480</v>
      </c>
      <c r="E70" s="41">
        <f t="shared" si="16"/>
        <v>20</v>
      </c>
      <c r="F70" s="67">
        <f>+'[1]Con 5hP4'!E91</f>
        <v>0.43661971830985913</v>
      </c>
      <c r="G70" s="47">
        <f t="shared" si="1"/>
        <v>8.7323943661971821</v>
      </c>
      <c r="H70" s="47">
        <f>+F70/G83</f>
        <v>5.786759254814744E-4</v>
      </c>
      <c r="I70" s="48">
        <f>+G70/G83</f>
        <v>1.1573518509629488E-2</v>
      </c>
      <c r="J70" s="49">
        <f t="shared" si="0"/>
        <v>5.5552888846221542</v>
      </c>
      <c r="K70" s="45">
        <f t="shared" si="15"/>
        <v>0.5786759254814744</v>
      </c>
      <c r="L70" s="50">
        <f t="shared" si="2"/>
        <v>2.6954177897574128</v>
      </c>
      <c r="M70" s="101">
        <f t="shared" si="3"/>
        <v>0.10450448020819988</v>
      </c>
      <c r="N70" s="50">
        <f t="shared" si="4"/>
        <v>6.1216954038488959E-2</v>
      </c>
      <c r="O70" s="50">
        <f t="shared" si="5"/>
        <v>0.13131899872178926</v>
      </c>
      <c r="P70" s="50">
        <f t="shared" si="6"/>
        <v>9.9677058283682909E-2</v>
      </c>
      <c r="Q70" s="50">
        <f t="shared" si="7"/>
        <v>5.4154656236158623E-2</v>
      </c>
      <c r="R70" s="50">
        <f t="shared" si="13"/>
        <v>2.5351047740155407E-3</v>
      </c>
      <c r="S70" s="102">
        <f t="shared" si="8"/>
        <v>14.548169014084507</v>
      </c>
      <c r="T70" s="50">
        <f t="shared" si="9"/>
        <v>1.1638535211267607</v>
      </c>
      <c r="U70" s="50">
        <f t="shared" si="10"/>
        <v>1.1638535211267607</v>
      </c>
      <c r="V70" s="101">
        <f t="shared" si="14"/>
        <v>689.44466800804821</v>
      </c>
      <c r="W70" s="50">
        <f t="shared" si="11"/>
        <v>91.375872979072412</v>
      </c>
      <c r="X70" s="77"/>
      <c r="Y70" s="105"/>
      <c r="AB70" s="54">
        <f t="shared" si="12"/>
        <v>8.6241270209275855E-2</v>
      </c>
    </row>
    <row r="71" spans="1:28" x14ac:dyDescent="0.25">
      <c r="A71" s="41">
        <v>59</v>
      </c>
      <c r="B71" s="42">
        <v>39596</v>
      </c>
      <c r="C71" s="41"/>
      <c r="D71" s="55">
        <v>510</v>
      </c>
      <c r="E71" s="41">
        <f t="shared" si="16"/>
        <v>30</v>
      </c>
      <c r="F71" s="45">
        <f>+'[1]Con 5hP4'!E92</f>
        <v>0.35613682092555332</v>
      </c>
      <c r="G71" s="47">
        <f t="shared" si="1"/>
        <v>10.684104627766599</v>
      </c>
      <c r="H71" s="47">
        <f>+F71/G83</f>
        <v>4.7200755212083401E-4</v>
      </c>
      <c r="I71" s="48">
        <f>+G71/G83</f>
        <v>1.416022656362502E-2</v>
      </c>
      <c r="J71" s="49">
        <f t="shared" si="0"/>
        <v>7.2217155474487598</v>
      </c>
      <c r="K71" s="45">
        <f t="shared" si="15"/>
        <v>0.47200755212083401</v>
      </c>
      <c r="L71" s="50">
        <f t="shared" si="2"/>
        <v>2.8638814016172511</v>
      </c>
      <c r="M71" s="101">
        <f t="shared" si="3"/>
        <v>8.524098155231051E-2</v>
      </c>
      <c r="N71" s="50">
        <f t="shared" si="4"/>
        <v>3.9895037520050081E-2</v>
      </c>
      <c r="O71" s="50">
        <f t="shared" si="5"/>
        <v>0.11006205669456201</v>
      </c>
      <c r="P71" s="50">
        <f t="shared" si="6"/>
        <v>8.0220009128386172E-2</v>
      </c>
      <c r="Q71" s="50">
        <f t="shared" si="7"/>
        <v>4.369463203778505E-2</v>
      </c>
      <c r="R71" s="50">
        <f t="shared" si="13"/>
        <v>1.7260991579831099E-3</v>
      </c>
      <c r="S71" s="102">
        <f t="shared" si="8"/>
        <v>17.799718309859156</v>
      </c>
      <c r="T71" s="50">
        <f t="shared" si="9"/>
        <v>1.4239774647887324</v>
      </c>
      <c r="U71" s="50">
        <f t="shared" si="10"/>
        <v>1.4239774647887324</v>
      </c>
      <c r="V71" s="101">
        <f t="shared" si="14"/>
        <v>700.12877263581481</v>
      </c>
      <c r="W71" s="50">
        <f t="shared" si="11"/>
        <v>92.791895805360369</v>
      </c>
      <c r="X71" s="133">
        <f>+((([1]Resumen!O12-F70)*(D71-D70))/(F71-F70))+D70</f>
        <v>501.97499999999997</v>
      </c>
      <c r="Y71" s="69" t="s">
        <v>73</v>
      </c>
      <c r="AB71" s="54">
        <f t="shared" si="12"/>
        <v>7.2081041946396307E-2</v>
      </c>
    </row>
    <row r="72" spans="1:28" x14ac:dyDescent="0.25">
      <c r="A72" s="41">
        <v>60</v>
      </c>
      <c r="B72" s="42">
        <v>39596</v>
      </c>
      <c r="C72" s="41"/>
      <c r="D72" s="55">
        <v>540</v>
      </c>
      <c r="E72" s="41">
        <f t="shared" si="16"/>
        <v>30</v>
      </c>
      <c r="F72" s="45">
        <f>+'[1]Con 5hP4'!E93</f>
        <v>0.29577464788732394</v>
      </c>
      <c r="G72" s="47">
        <f t="shared" si="1"/>
        <v>8.873239436619718</v>
      </c>
      <c r="H72" s="47">
        <f>+F72/G83</f>
        <v>3.9200627210035362E-4</v>
      </c>
      <c r="I72" s="48">
        <f>+G72/G83</f>
        <v>1.176018816301061E-2</v>
      </c>
      <c r="J72" s="49">
        <f t="shared" si="0"/>
        <v>6.3505016080257288</v>
      </c>
      <c r="K72" s="45">
        <f t="shared" si="15"/>
        <v>0.3920062721003536</v>
      </c>
      <c r="L72" s="50">
        <f t="shared" si="2"/>
        <v>3.0323450134770891</v>
      </c>
      <c r="M72" s="101">
        <f t="shared" si="3"/>
        <v>7.0793357560393483E-2</v>
      </c>
      <c r="N72" s="50">
        <f t="shared" si="4"/>
        <v>2.4966837596401704E-2</v>
      </c>
      <c r="O72" s="50">
        <f t="shared" si="5"/>
        <v>9.0716885280082482E-2</v>
      </c>
      <c r="P72" s="50">
        <f t="shared" si="6"/>
        <v>6.4473465930018639E-2</v>
      </c>
      <c r="Q72" s="50">
        <f t="shared" si="7"/>
        <v>3.520270834558719E-2</v>
      </c>
      <c r="R72" s="50">
        <f t="shared" si="13"/>
        <v>1.2666943115313917E-3</v>
      </c>
      <c r="S72" s="102">
        <f t="shared" si="8"/>
        <v>14.782816901408451</v>
      </c>
      <c r="T72" s="50">
        <f t="shared" si="9"/>
        <v>1.1826253521126759</v>
      </c>
      <c r="U72" s="50">
        <f t="shared" si="10"/>
        <v>1.1826253521126759</v>
      </c>
      <c r="V72" s="101">
        <f t="shared" si="14"/>
        <v>709.00201207243458</v>
      </c>
      <c r="W72" s="50">
        <f t="shared" si="11"/>
        <v>93.967914762785981</v>
      </c>
      <c r="X72" s="19"/>
      <c r="AB72" s="54">
        <f t="shared" si="12"/>
        <v>6.0320852372140243E-2</v>
      </c>
    </row>
    <row r="73" spans="1:28" x14ac:dyDescent="0.25">
      <c r="A73" s="41">
        <v>61</v>
      </c>
      <c r="B73" s="42">
        <v>39596</v>
      </c>
      <c r="C73" s="41"/>
      <c r="D73" s="55">
        <v>570</v>
      </c>
      <c r="E73" s="41">
        <f t="shared" si="16"/>
        <v>30</v>
      </c>
      <c r="F73" s="45">
        <f>+'[1]Con 5hP4'!E94</f>
        <v>0.27565392354124746</v>
      </c>
      <c r="G73" s="47">
        <f t="shared" si="1"/>
        <v>8.2696177062374243</v>
      </c>
      <c r="H73" s="47">
        <f>+F73/G83</f>
        <v>3.653391787601935E-4</v>
      </c>
      <c r="I73" s="48">
        <f>+G73/G83</f>
        <v>1.0960175362805805E-2</v>
      </c>
      <c r="J73" s="49">
        <f t="shared" si="0"/>
        <v>6.2472999567993091</v>
      </c>
      <c r="K73" s="45">
        <f t="shared" si="15"/>
        <v>0.36533917876019351</v>
      </c>
      <c r="L73" s="50">
        <f t="shared" si="2"/>
        <v>3.2008086253369274</v>
      </c>
      <c r="M73" s="101">
        <f t="shared" si="3"/>
        <v>6.5977482896421122E-2</v>
      </c>
      <c r="N73" s="50">
        <f t="shared" si="4"/>
        <v>1.5003952894498259E-2</v>
      </c>
      <c r="O73" s="50">
        <f t="shared" si="5"/>
        <v>7.3532457736254067E-2</v>
      </c>
      <c r="P73" s="50">
        <f t="shared" si="6"/>
        <v>5.1763136379621405E-2</v>
      </c>
      <c r="Q73" s="50">
        <f t="shared" si="7"/>
        <v>2.8323667264588872E-2</v>
      </c>
      <c r="R73" s="50">
        <f t="shared" si="13"/>
        <v>1.4178098316360145E-3</v>
      </c>
      <c r="S73" s="102">
        <f t="shared" si="8"/>
        <v>13.777183098591546</v>
      </c>
      <c r="T73" s="50">
        <f t="shared" si="9"/>
        <v>1.1021746478873238</v>
      </c>
      <c r="U73" s="50">
        <f t="shared" si="10"/>
        <v>1.1021746478873238</v>
      </c>
      <c r="V73" s="101">
        <f t="shared" si="14"/>
        <v>717.27162977867204</v>
      </c>
      <c r="W73" s="50">
        <f t="shared" si="11"/>
        <v>95.063932430590782</v>
      </c>
      <c r="X73" s="19"/>
      <c r="AB73" s="54">
        <f t="shared" si="12"/>
        <v>4.9360675694092193E-2</v>
      </c>
    </row>
    <row r="74" spans="1:28" x14ac:dyDescent="0.25">
      <c r="A74" s="41">
        <v>62</v>
      </c>
      <c r="B74" s="42">
        <v>39596</v>
      </c>
      <c r="C74" s="41"/>
      <c r="D74" s="55">
        <v>600</v>
      </c>
      <c r="E74" s="41">
        <f>+D74-D73</f>
        <v>30</v>
      </c>
      <c r="F74" s="45">
        <f>+'[1]Con 5hP4'!E95</f>
        <v>0.23541247484909456</v>
      </c>
      <c r="G74" s="47">
        <f t="shared" si="1"/>
        <v>7.0623742454728369</v>
      </c>
      <c r="H74" s="47">
        <f>+F74/G83</f>
        <v>3.1200499207987328E-4</v>
      </c>
      <c r="I74" s="48">
        <f>+G74/G83</f>
        <v>9.3601497623961999E-3</v>
      </c>
      <c r="J74" s="49">
        <f t="shared" si="0"/>
        <v>5.6160898574377196</v>
      </c>
      <c r="K74" s="45">
        <f t="shared" si="15"/>
        <v>0.31200499207987326</v>
      </c>
      <c r="L74" s="50">
        <f t="shared" si="2"/>
        <v>3.3692722371967658</v>
      </c>
      <c r="M74" s="101">
        <f t="shared" si="3"/>
        <v>5.6345733568476442E-2</v>
      </c>
      <c r="N74" s="50">
        <f t="shared" si="4"/>
        <v>8.6585535047320455E-3</v>
      </c>
      <c r="O74" s="50">
        <f t="shared" si="5"/>
        <v>5.8615230684258585E-2</v>
      </c>
      <c r="P74" s="50">
        <f t="shared" si="6"/>
        <v>4.1524270183273489E-2</v>
      </c>
      <c r="Q74" s="50">
        <f t="shared" si="7"/>
        <v>2.2761835377852528E-2</v>
      </c>
      <c r="R74" s="50">
        <f t="shared" si="13"/>
        <v>1.1278782176781922E-3</v>
      </c>
      <c r="S74" s="102">
        <f t="shared" si="8"/>
        <v>11.765915492957745</v>
      </c>
      <c r="T74" s="50">
        <f t="shared" si="9"/>
        <v>0.94127323943661956</v>
      </c>
      <c r="U74" s="50">
        <f t="shared" si="10"/>
        <v>0.94127323943661956</v>
      </c>
      <c r="V74" s="101">
        <f t="shared" si="14"/>
        <v>724.33400402414486</v>
      </c>
      <c r="W74" s="50">
        <f t="shared" si="11"/>
        <v>95.999947519154006</v>
      </c>
      <c r="X74" s="19"/>
      <c r="AB74" s="54">
        <f t="shared" si="12"/>
        <v>4.0000524808459947E-2</v>
      </c>
    </row>
    <row r="75" spans="1:28" x14ac:dyDescent="0.25">
      <c r="A75" s="41">
        <v>63</v>
      </c>
      <c r="B75" s="42">
        <v>39596</v>
      </c>
      <c r="C75" s="41"/>
      <c r="D75" s="55">
        <v>630</v>
      </c>
      <c r="E75" s="41">
        <f t="shared" si="16"/>
        <v>30</v>
      </c>
      <c r="F75" s="45">
        <f>+'[1]Con 5hP4'!E96</f>
        <v>0.19517102615694165</v>
      </c>
      <c r="G75" s="47">
        <f t="shared" si="1"/>
        <v>5.8551307847082494</v>
      </c>
      <c r="H75" s="47">
        <f>+F75/G83</f>
        <v>2.5867080539955311E-4</v>
      </c>
      <c r="I75" s="48">
        <f>+G75/G83</f>
        <v>7.7601241619865927E-3</v>
      </c>
      <c r="J75" s="49">
        <f t="shared" si="0"/>
        <v>4.8888782220515532</v>
      </c>
      <c r="K75" s="45">
        <f t="shared" si="15"/>
        <v>0.25867080539955312</v>
      </c>
      <c r="L75" s="50">
        <f t="shared" si="2"/>
        <v>3.5377358490566042</v>
      </c>
      <c r="M75" s="101">
        <f t="shared" si="3"/>
        <v>4.6713984240531747E-2</v>
      </c>
      <c r="N75" s="50">
        <f t="shared" si="4"/>
        <v>4.798245837523381E-3</v>
      </c>
      <c r="O75" s="50">
        <f t="shared" si="5"/>
        <v>4.5949661890604315E-2</v>
      </c>
      <c r="P75" s="50">
        <f t="shared" si="6"/>
        <v>3.3289226472145342E-2</v>
      </c>
      <c r="Q75" s="50">
        <f t="shared" si="7"/>
        <v>1.8272576775108833E-2</v>
      </c>
      <c r="R75" s="50">
        <f t="shared" si="13"/>
        <v>8.0891365861421424E-4</v>
      </c>
      <c r="S75" s="102">
        <f t="shared" si="8"/>
        <v>9.7546478873239426</v>
      </c>
      <c r="T75" s="50">
        <f t="shared" si="9"/>
        <v>0.78037183098591545</v>
      </c>
      <c r="U75" s="50">
        <f t="shared" si="10"/>
        <v>0.78037183098591545</v>
      </c>
      <c r="V75" s="101">
        <f t="shared" si="14"/>
        <v>730.18913480885305</v>
      </c>
      <c r="W75" s="50">
        <f t="shared" si="11"/>
        <v>96.775960028475652</v>
      </c>
      <c r="X75" s="19"/>
      <c r="AB75" s="54">
        <f t="shared" si="12"/>
        <v>3.2240399715243506E-2</v>
      </c>
    </row>
    <row r="76" spans="1:28" x14ac:dyDescent="0.25">
      <c r="A76" s="41">
        <v>64</v>
      </c>
      <c r="B76" s="42">
        <v>39596</v>
      </c>
      <c r="C76" s="41"/>
      <c r="D76" s="55">
        <v>660</v>
      </c>
      <c r="E76" s="41">
        <f t="shared" si="16"/>
        <v>30</v>
      </c>
      <c r="F76" s="45">
        <f>+'[1]Con 5hP4'!E97</f>
        <v>0.17505030181086517</v>
      </c>
      <c r="G76" s="47">
        <f t="shared" si="1"/>
        <v>5.2515090543259548</v>
      </c>
      <c r="H76" s="47">
        <f>+F76/G83</f>
        <v>2.3200371205939294E-4</v>
      </c>
      <c r="I76" s="48">
        <f>+G76/G83</f>
        <v>6.9601113617817883E-3</v>
      </c>
      <c r="J76" s="49">
        <f>+D76*I76</f>
        <v>4.5936734987759804</v>
      </c>
      <c r="K76" s="45">
        <f t="shared" si="15"/>
        <v>0.23200371205939294</v>
      </c>
      <c r="L76" s="50">
        <f t="shared" si="2"/>
        <v>3.7061994609164426</v>
      </c>
      <c r="M76" s="101">
        <f t="shared" si="3"/>
        <v>4.18981095765594E-2</v>
      </c>
      <c r="N76" s="50">
        <f t="shared" si="4"/>
        <v>2.5533899385621296E-3</v>
      </c>
      <c r="O76" s="50">
        <f t="shared" si="5"/>
        <v>3.5423755911261207E-2</v>
      </c>
      <c r="P76" s="50">
        <f t="shared" si="6"/>
        <v>2.667395064925077E-2</v>
      </c>
      <c r="Q76" s="50">
        <f t="shared" si="7"/>
        <v>1.4654477614714775E-2</v>
      </c>
      <c r="R76" s="50">
        <f t="shared" si="13"/>
        <v>7.4221548247244205E-4</v>
      </c>
      <c r="S76" s="102">
        <f t="shared" si="8"/>
        <v>8.7490140845070421</v>
      </c>
      <c r="T76" s="50">
        <f t="shared" si="9"/>
        <v>0.69992112676056339</v>
      </c>
      <c r="U76" s="50">
        <f t="shared" si="10"/>
        <v>0.69992112676056339</v>
      </c>
      <c r="V76" s="101">
        <f t="shared" si="14"/>
        <v>735.44064386317905</v>
      </c>
      <c r="W76" s="50">
        <f t="shared" si="11"/>
        <v>97.471971248176516</v>
      </c>
      <c r="X76" s="19"/>
      <c r="AB76" s="54">
        <f t="shared" si="12"/>
        <v>2.5280287518234856E-2</v>
      </c>
    </row>
    <row r="77" spans="1:28" x14ac:dyDescent="0.25">
      <c r="A77" s="41">
        <v>65</v>
      </c>
      <c r="B77" s="42">
        <v>39596</v>
      </c>
      <c r="C77" s="41"/>
      <c r="D77" s="63">
        <v>720</v>
      </c>
      <c r="E77" s="41">
        <f>+D77-D76</f>
        <v>60</v>
      </c>
      <c r="F77" s="45">
        <f>+'[1]Con 5hP4'!E98</f>
        <v>0.11468812877263582</v>
      </c>
      <c r="G77" s="47">
        <f>+F77*E77</f>
        <v>6.8812877263581491</v>
      </c>
      <c r="H77" s="47">
        <f>+F77/G83</f>
        <v>1.5200243203891263E-4</v>
      </c>
      <c r="I77" s="48">
        <f>+G77/G83</f>
        <v>9.1201459223347586E-3</v>
      </c>
      <c r="J77" s="49">
        <f>+D77*I77</f>
        <v>6.5665050640810261</v>
      </c>
      <c r="K77" s="45">
        <f t="shared" si="15"/>
        <v>0.15200243203891264</v>
      </c>
      <c r="L77" s="50">
        <f>+D77/(2.968*60)</f>
        <v>4.0431266846361194</v>
      </c>
      <c r="M77" s="101">
        <f>+F77/4.178</f>
        <v>2.7450485584642369E-2</v>
      </c>
      <c r="N77" s="50">
        <f>+(1/(2*SQRT(3.1416*0.3501))*EXP(-((1-L77)^2/(4*0.3501))))</f>
        <v>6.4029325899630585E-4</v>
      </c>
      <c r="O77" s="50">
        <f>+(1/(2*SQRT(3.1416*0.8489))*EXP(-((1-L77)^2/(4*0.8489))))</f>
        <v>2.0023524108534162E-2</v>
      </c>
      <c r="P77" s="50">
        <f>+(1/(2*SQRT(3.1416*L77*0.1962))*EXP(-((1-L77)^2/(4*L77*0.1962))))</f>
        <v>1.7107486142455174E-2</v>
      </c>
      <c r="Q77" s="50">
        <f>+(1.428*(1.428*L77)^(1.428-1)/FACT(1.428-1))*EXP(-1.428*L77)</f>
        <v>9.4013634052926547E-3</v>
      </c>
      <c r="R77" s="50">
        <f t="shared" si="13"/>
        <v>3.2577081144509386E-4</v>
      </c>
      <c r="S77" s="102">
        <f>1666/1000*F77*E77</f>
        <v>11.464225352112676</v>
      </c>
      <c r="T77" s="50">
        <f>+S77/(5000*0.25)*100</f>
        <v>0.91713802816901402</v>
      </c>
      <c r="U77" s="50">
        <f>+T77</f>
        <v>0.91713802816901402</v>
      </c>
      <c r="V77" s="101">
        <f t="shared" si="14"/>
        <v>742.32193158953714</v>
      </c>
      <c r="W77" s="50">
        <f>+V77/754.515*100</f>
        <v>98.383985949853496</v>
      </c>
      <c r="X77" s="19"/>
      <c r="AB77" s="54">
        <f>1-W77/100</f>
        <v>1.6160140501465081E-2</v>
      </c>
    </row>
    <row r="78" spans="1:28" x14ac:dyDescent="0.25">
      <c r="A78" s="41">
        <v>66</v>
      </c>
      <c r="B78" s="42">
        <v>39596</v>
      </c>
      <c r="C78" s="41"/>
      <c r="D78" s="55">
        <v>780</v>
      </c>
      <c r="E78" s="41">
        <f t="shared" si="16"/>
        <v>60</v>
      </c>
      <c r="F78" s="45">
        <f>+'[1]Con 5hP4'!E99</f>
        <v>9.4567404426559351E-2</v>
      </c>
      <c r="G78" s="47">
        <f>+F78*E78</f>
        <v>5.6740442655935608</v>
      </c>
      <c r="H78" s="47">
        <f>+F78/G83</f>
        <v>1.2533533869875252E-4</v>
      </c>
      <c r="I78" s="48">
        <f>+G78/G83</f>
        <v>7.5201203219251505E-3</v>
      </c>
      <c r="J78" s="49">
        <f>+D78*I78</f>
        <v>5.865693851101617</v>
      </c>
      <c r="K78" s="45">
        <f t="shared" si="15"/>
        <v>0.12533533869875252</v>
      </c>
      <c r="L78" s="50">
        <f>+D78/(2.968*60)</f>
        <v>4.3800539083557952</v>
      </c>
      <c r="M78" s="101">
        <f>+F78/4.178</f>
        <v>2.2634610920670022E-2</v>
      </c>
      <c r="N78" s="50">
        <f>+(1/(2*SQRT(3.1416*0.3501))*EXP(-((1-L78)^2/(4*0.3501))))</f>
        <v>1.365308221819025E-4</v>
      </c>
      <c r="O78" s="50">
        <f>+(1/(2*SQRT(3.1416*0.8489))*EXP(-((1-L78)^2/(4*0.8489))))</f>
        <v>1.0586397660054342E-2</v>
      </c>
      <c r="P78" s="50">
        <f>+(1/(2*SQRT(3.1416*L78*0.1962))*EXP(-((1-L78)^2/(4*L78*0.1962))))</f>
        <v>1.0961853997130238E-2</v>
      </c>
      <c r="Q78" s="50">
        <f>+(1.428*(1.428*L78)^(1.428-1)/FACT(1.428-1))*EXP(-1.428*L78)</f>
        <v>6.0133435519236491E-3</v>
      </c>
      <c r="R78" s="50">
        <f>+(Q78-M78)^2</f>
        <v>2.7626652894335293E-4</v>
      </c>
      <c r="S78" s="102">
        <f>1666/1000*F78*E78</f>
        <v>9.452957746478873</v>
      </c>
      <c r="T78" s="50">
        <f>+S78/(5000*0.25)*100</f>
        <v>0.7562366197183098</v>
      </c>
      <c r="U78" s="50">
        <f>+T78</f>
        <v>0.7562366197183098</v>
      </c>
      <c r="V78" s="101">
        <f>+V77+G78</f>
        <v>747.99597585513072</v>
      </c>
      <c r="W78" s="50">
        <f>+V78/754.515*100</f>
        <v>99.135998072288928</v>
      </c>
      <c r="X78" s="19"/>
      <c r="AB78" s="54">
        <f>1-W78/100</f>
        <v>8.6400192771107776E-3</v>
      </c>
    </row>
    <row r="79" spans="1:28" x14ac:dyDescent="0.25">
      <c r="A79" s="41">
        <v>67</v>
      </c>
      <c r="B79" s="42">
        <v>39596</v>
      </c>
      <c r="C79" s="41"/>
      <c r="D79" s="55">
        <v>840</v>
      </c>
      <c r="E79" s="41">
        <f t="shared" si="16"/>
        <v>60</v>
      </c>
      <c r="F79" s="45">
        <f>+'[1]Con 5hP4'!E100</f>
        <v>6.438631790744466E-2</v>
      </c>
      <c r="G79" s="47">
        <f>+F79*E79</f>
        <v>3.8631790744466796</v>
      </c>
      <c r="H79" s="47">
        <f>+F79/G83</f>
        <v>8.5334698688512353E-5</v>
      </c>
      <c r="I79" s="48">
        <f>+G79/G83</f>
        <v>5.1200819213107407E-3</v>
      </c>
      <c r="J79" s="49">
        <f>+D79*I79</f>
        <v>4.3008688139010225</v>
      </c>
      <c r="K79" s="45">
        <f>+H79*1000</f>
        <v>8.5334698688512359E-2</v>
      </c>
      <c r="L79" s="50">
        <f>+D79/(2.968*60)</f>
        <v>4.716981132075472</v>
      </c>
      <c r="M79" s="101">
        <f>+F79/4.178</f>
        <v>1.5410798924711503E-2</v>
      </c>
      <c r="N79" s="50">
        <f>+(1/(2*SQRT(3.1416*0.3501))*EXP(-((1-L79)^2/(4*0.3501))))</f>
        <v>2.4755543784105235E-5</v>
      </c>
      <c r="O79" s="50">
        <f>+(1/(2*SQRT(3.1416*0.8489))*EXP(-((1-L79)^2/(4*0.8489))))</f>
        <v>5.235011886818069E-3</v>
      </c>
      <c r="P79" s="50">
        <f>+(1/(2*SQRT(3.1416*L79*0.1962))*EXP(-((1-L79)^2/(4*L79*0.1962))))</f>
        <v>7.0204746633026165E-3</v>
      </c>
      <c r="Q79" s="50">
        <f>+(1.428*(1.428*L79)^(1.428-1)/FACT(1.428-1))*EXP(-1.428*L79)</f>
        <v>3.8365252030547188E-3</v>
      </c>
      <c r="R79" s="50">
        <f>+(Q79-M79)^2</f>
        <v>1.339638121838348E-4</v>
      </c>
      <c r="S79" s="102">
        <f>1666/1000*F79*E79</f>
        <v>6.4360563380281679</v>
      </c>
      <c r="T79" s="50">
        <f>+S79/(5000*0.25)*100</f>
        <v>0.51488450704225341</v>
      </c>
      <c r="U79" s="50">
        <f>+T79</f>
        <v>0.51488450704225341</v>
      </c>
      <c r="V79" s="101">
        <f>+V78+G79</f>
        <v>751.85915492957736</v>
      </c>
      <c r="W79" s="50">
        <f>+V79/754.515*100</f>
        <v>99.648006325861957</v>
      </c>
      <c r="X79" s="19"/>
      <c r="AB79" s="54">
        <f>1-W79/100</f>
        <v>3.5199367413804028E-3</v>
      </c>
    </row>
    <row r="80" spans="1:28" x14ac:dyDescent="0.25">
      <c r="A80" s="41">
        <v>68</v>
      </c>
      <c r="B80" s="42">
        <v>39596</v>
      </c>
      <c r="C80" s="41"/>
      <c r="D80" s="55">
        <v>900</v>
      </c>
      <c r="E80" s="41">
        <f t="shared" si="16"/>
        <v>60</v>
      </c>
      <c r="F80" s="45">
        <f>+'[1]Con 5hP4'!E101</f>
        <v>4.4265593561368201E-2</v>
      </c>
      <c r="G80" s="47">
        <f>+F80*E80</f>
        <v>2.6559356136820922</v>
      </c>
      <c r="H80" s="47">
        <f>+F80/G83</f>
        <v>5.8667605348352234E-5</v>
      </c>
      <c r="I80" s="48">
        <f>+G80/G83</f>
        <v>3.5200563209011344E-3</v>
      </c>
      <c r="J80" s="49">
        <f>+D80*I80</f>
        <v>3.1680506888110211</v>
      </c>
      <c r="K80" s="45">
        <f>+H80*1000</f>
        <v>5.8667605348352234E-2</v>
      </c>
      <c r="L80" s="50">
        <f>+D80/(2.968*60)</f>
        <v>5.0539083557951487</v>
      </c>
      <c r="M80" s="101">
        <f>+F80/4.178</f>
        <v>1.0594924260739158E-2</v>
      </c>
      <c r="N80" s="50">
        <f>+(1/(2*SQRT(3.1416*0.3501))*EXP(-((1-L80)^2/(4*0.3501))))</f>
        <v>3.8168423705221397E-6</v>
      </c>
      <c r="O80" s="50">
        <f>+(1/(2*SQRT(3.1416*0.8489))*EXP(-((1-L80)^2/(4*0.8489))))</f>
        <v>2.4213017780487195E-3</v>
      </c>
      <c r="P80" s="50">
        <f>+(1/(2*SQRT(3.1416*L80*0.1962))*EXP(-((1-L80)^2/(4*L80*0.1962))))</f>
        <v>4.4952765775929842E-3</v>
      </c>
      <c r="Q80" s="50">
        <f>+(1.428*(1.428*L80)^(1.428-1)/FACT(1.428-1))*EXP(-1.428*L80)</f>
        <v>2.442357925096872E-3</v>
      </c>
      <c r="R80" s="50">
        <f>+(Q80-M80)^2</f>
        <v>6.64643378570479E-5</v>
      </c>
      <c r="S80" s="102">
        <f>1666/1000*F80*E80</f>
        <v>4.4247887323943651</v>
      </c>
      <c r="T80" s="50">
        <f>+S80/(5000*0.25)*100</f>
        <v>0.35398309859154919</v>
      </c>
      <c r="U80" s="50">
        <f>+T80</f>
        <v>0.35398309859154919</v>
      </c>
      <c r="V80" s="101">
        <f>+V79+G80</f>
        <v>754.51509054325948</v>
      </c>
      <c r="W80" s="50">
        <f>+V80/754.515*100</f>
        <v>100.00001200019344</v>
      </c>
      <c r="X80" s="19"/>
      <c r="AB80" s="54">
        <f>1-W80/100</f>
        <v>-1.2000193438943541E-7</v>
      </c>
    </row>
    <row r="81" spans="6:24" x14ac:dyDescent="0.25">
      <c r="F81" s="54">
        <f>+MAX(F12:F80)</f>
        <v>3.7766599597585513</v>
      </c>
      <c r="N81" s="53"/>
      <c r="O81" s="53"/>
      <c r="P81" s="53"/>
      <c r="Q81" s="53" t="s">
        <v>81</v>
      </c>
      <c r="R81" s="19">
        <f>SUM(R12:R80)</f>
        <v>0.55217158021987622</v>
      </c>
      <c r="S81" s="3">
        <f>SUM(S12:S80)</f>
        <v>1257.0221408450702</v>
      </c>
      <c r="T81" s="137">
        <f>+S81/(5000*0.25)*100</f>
        <v>100.56177126760562</v>
      </c>
      <c r="U81" s="137">
        <f>+T81</f>
        <v>100.56177126760562</v>
      </c>
      <c r="V81" s="137">
        <f>+V80+G81</f>
        <v>754.51509054325948</v>
      </c>
      <c r="W81" s="50">
        <f>+V81/754.515*100</f>
        <v>100.00001200019344</v>
      </c>
      <c r="X81" s="19"/>
    </row>
    <row r="82" spans="6:24" x14ac:dyDescent="0.25">
      <c r="F82" s="54"/>
      <c r="N82" s="19"/>
      <c r="O82" s="19"/>
      <c r="P82" s="19"/>
      <c r="Q82" s="19" t="s">
        <v>82</v>
      </c>
      <c r="R82" s="19"/>
      <c r="S82" s="53">
        <f>+S81/(5000*0.25)*100</f>
        <v>100.56177126760562</v>
      </c>
      <c r="T82" s="19"/>
      <c r="U82" s="19"/>
      <c r="V82" s="53"/>
      <c r="W82" s="19"/>
      <c r="X82" s="19"/>
    </row>
    <row r="83" spans="6:24" x14ac:dyDescent="0.25">
      <c r="F83" t="s">
        <v>64</v>
      </c>
      <c r="G83" s="54">
        <f>SUM(G12:G80)</f>
        <v>754.51509054325948</v>
      </c>
      <c r="I83" s="86" t="s">
        <v>83</v>
      </c>
      <c r="J83" s="9">
        <f>SUM(J12:J80)</f>
        <v>212.91174525459067</v>
      </c>
      <c r="T83" s="53"/>
      <c r="U83" s="53"/>
      <c r="V83" s="53"/>
      <c r="W83" s="53"/>
      <c r="X83" s="19"/>
    </row>
    <row r="84" spans="6:24" x14ac:dyDescent="0.25">
      <c r="M84" s="3" t="s">
        <v>126</v>
      </c>
      <c r="N84" s="15">
        <f>+CORREL(M12:M80,N12:N80)</f>
        <v>0.63299533794716012</v>
      </c>
      <c r="O84" s="15"/>
      <c r="P84" s="15">
        <f>+CORREL(M13:M80,P13:P80)</f>
        <v>0.18592047133045647</v>
      </c>
      <c r="Q84" s="15">
        <f>+CORREL(M12:M80,Q12:Q80)</f>
        <v>0.9422725808262602</v>
      </c>
      <c r="R84" s="15"/>
      <c r="T84" s="19"/>
      <c r="U84" s="12"/>
      <c r="V84" s="53"/>
      <c r="W84" s="19"/>
      <c r="X84" s="19"/>
    </row>
    <row r="85" spans="6:24" x14ac:dyDescent="0.25">
      <c r="H85" t="s">
        <v>84</v>
      </c>
      <c r="J85" s="9">
        <f>+J83/60</f>
        <v>3.5485290875765112</v>
      </c>
      <c r="M85" s="3" t="s">
        <v>127</v>
      </c>
      <c r="N85" s="15">
        <f>+N84^2</f>
        <v>0.40068309786283945</v>
      </c>
      <c r="O85" s="15"/>
      <c r="P85" s="15">
        <f>+P84^2</f>
        <v>3.456642165973909E-2</v>
      </c>
      <c r="Q85" s="15">
        <f>+Q84^2</f>
        <v>0.88787761657698105</v>
      </c>
      <c r="R85" s="15"/>
      <c r="T85" s="19"/>
      <c r="U85" s="12"/>
      <c r="V85" s="53"/>
      <c r="W85" s="19"/>
      <c r="X85" s="19"/>
    </row>
    <row r="86" spans="6:24" x14ac:dyDescent="0.25">
      <c r="H86" t="s">
        <v>85</v>
      </c>
      <c r="J86">
        <f>+J85/5</f>
        <v>0.70970581751530226</v>
      </c>
      <c r="M86" s="3" t="s">
        <v>128</v>
      </c>
      <c r="N86" s="15">
        <f>1-((1-N85^2)*(68-1)/(68-2))</f>
        <v>0.14782795922982472</v>
      </c>
      <c r="O86" s="15"/>
      <c r="P86" s="15">
        <f>1-((1-P85^2)*(68-1)/(68-2))</f>
        <v>-1.3938574046574947E-2</v>
      </c>
      <c r="Q86" s="15">
        <f>1-((1-Q85^2)*(68-1)/(68-2))</f>
        <v>0.78511949023082095</v>
      </c>
      <c r="R86" s="15"/>
      <c r="T86" s="19"/>
      <c r="U86" s="12"/>
      <c r="V86" s="53"/>
      <c r="W86" s="19"/>
      <c r="X86" s="19"/>
    </row>
    <row r="87" spans="6:24" x14ac:dyDescent="0.25">
      <c r="M87" s="3" t="s">
        <v>129</v>
      </c>
      <c r="N87" s="15">
        <f>+STDEV(N12:N80,M12:M80)</f>
        <v>0.21600723156626839</v>
      </c>
      <c r="O87" s="15"/>
      <c r="P87" s="15">
        <f>+STDEV(M13:M80,P13:P80)</f>
        <v>0.25536382299780125</v>
      </c>
      <c r="Q87" s="15">
        <f>+STDEV(Q12:Q80,M12:M80)</f>
        <v>0.24659351901421456</v>
      </c>
      <c r="R87" s="15"/>
      <c r="T87" s="19"/>
      <c r="U87" s="12"/>
      <c r="V87" s="53"/>
      <c r="W87" s="19"/>
      <c r="X87" s="19"/>
    </row>
    <row r="88" spans="6:24" x14ac:dyDescent="0.25">
      <c r="T88" s="19"/>
      <c r="U88" s="12"/>
      <c r="V88" s="53"/>
      <c r="W88" s="19"/>
      <c r="X88" s="19"/>
    </row>
    <row r="89" spans="6:24" x14ac:dyDescent="0.25">
      <c r="T89" s="3"/>
      <c r="U89" s="3"/>
      <c r="V89" s="3"/>
      <c r="W89" s="3"/>
      <c r="X89" s="3"/>
    </row>
    <row r="90" spans="6:24" x14ac:dyDescent="0.25">
      <c r="T90" s="3"/>
      <c r="U90" s="3"/>
      <c r="V90" s="3"/>
      <c r="W90" s="3"/>
      <c r="X90" s="3"/>
    </row>
  </sheetData>
  <mergeCells count="2">
    <mergeCell ref="L9:M9"/>
    <mergeCell ref="N9:O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2"/>
  <sheetViews>
    <sheetView topLeftCell="K1" workbookViewId="0">
      <selection activeCell="L103" sqref="L103"/>
    </sheetView>
  </sheetViews>
  <sheetFormatPr baseColWidth="10" defaultRowHeight="15" x14ac:dyDescent="0.25"/>
  <cols>
    <col min="3" max="3" width="9.7109375" customWidth="1"/>
    <col min="4" max="4" width="9.42578125" customWidth="1"/>
    <col min="6" max="6" width="12.5703125" bestFit="1" customWidth="1"/>
    <col min="19" max="21" width="9.28515625" customWidth="1"/>
    <col min="22" max="23" width="8.140625" customWidth="1"/>
    <col min="24" max="24" width="8.42578125" customWidth="1"/>
    <col min="27" max="27" width="12.28515625" bestFit="1" customWidth="1"/>
  </cols>
  <sheetData>
    <row r="1" spans="1:27" x14ac:dyDescent="0.25">
      <c r="A1" t="s">
        <v>20</v>
      </c>
    </row>
    <row r="2" spans="1:27" x14ac:dyDescent="0.25">
      <c r="A2" t="s">
        <v>130</v>
      </c>
      <c r="F2" s="3" t="s">
        <v>98</v>
      </c>
      <c r="I2" s="5">
        <f>(1.184*0.884*0.515)*1000-23.21</f>
        <v>515.81784000000005</v>
      </c>
      <c r="L2" s="7"/>
    </row>
    <row r="3" spans="1:27" x14ac:dyDescent="0.25">
      <c r="A3" s="13" t="s">
        <v>23</v>
      </c>
      <c r="F3" t="s">
        <v>24</v>
      </c>
    </row>
    <row r="4" spans="1:27" x14ac:dyDescent="0.25">
      <c r="A4" s="3" t="s">
        <v>131</v>
      </c>
      <c r="F4" t="s">
        <v>26</v>
      </c>
    </row>
    <row r="5" spans="1:27" x14ac:dyDescent="0.25">
      <c r="A5" s="3" t="s">
        <v>30</v>
      </c>
      <c r="C5" s="15">
        <f>+L104</f>
        <v>5.1478826347305393</v>
      </c>
      <c r="D5">
        <f>+C5*60</f>
        <v>308.87295808383237</v>
      </c>
      <c r="E5" t="s">
        <v>132</v>
      </c>
      <c r="F5" s="3" t="s">
        <v>99</v>
      </c>
      <c r="J5" s="15">
        <f>+(250*5000)/(I2*1000)</f>
        <v>2.4233361141599907</v>
      </c>
      <c r="O5" s="54"/>
      <c r="Q5">
        <f>518/5</f>
        <v>103.6</v>
      </c>
    </row>
    <row r="6" spans="1:27" x14ac:dyDescent="0.25">
      <c r="A6" s="3" t="s">
        <v>133</v>
      </c>
      <c r="C6">
        <f>0.515/(C5*60)</f>
        <v>1.6673521799866402E-3</v>
      </c>
      <c r="F6" s="3" t="s">
        <v>134</v>
      </c>
      <c r="J6" s="5">
        <f>+L103</f>
        <v>1670</v>
      </c>
    </row>
    <row r="8" spans="1:27" x14ac:dyDescent="0.25">
      <c r="F8" s="84"/>
      <c r="X8" s="30"/>
    </row>
    <row r="9" spans="1:27" x14ac:dyDescent="0.25">
      <c r="A9" s="21" t="s">
        <v>32</v>
      </c>
      <c r="B9" s="22"/>
      <c r="C9" s="22"/>
      <c r="D9" s="22"/>
      <c r="E9" s="22"/>
      <c r="F9" s="97"/>
      <c r="G9" s="23" t="s">
        <v>33</v>
      </c>
      <c r="H9" s="24" t="s">
        <v>34</v>
      </c>
      <c r="I9" s="22"/>
      <c r="J9" s="22"/>
      <c r="K9" s="24" t="s">
        <v>34</v>
      </c>
      <c r="L9" s="28" t="s">
        <v>52</v>
      </c>
      <c r="M9" s="28" t="s">
        <v>53</v>
      </c>
      <c r="N9" s="167" t="s">
        <v>101</v>
      </c>
      <c r="O9" s="168"/>
      <c r="P9" s="27" t="s">
        <v>37</v>
      </c>
      <c r="Q9" s="28" t="s">
        <v>38</v>
      </c>
      <c r="R9" s="33"/>
      <c r="S9" s="32" t="s">
        <v>39</v>
      </c>
      <c r="T9" s="30" t="s">
        <v>40</v>
      </c>
      <c r="U9" s="30" t="s">
        <v>41</v>
      </c>
      <c r="V9" s="30"/>
      <c r="W9" s="30"/>
    </row>
    <row r="10" spans="1:27" x14ac:dyDescent="0.25">
      <c r="A10" s="31"/>
      <c r="B10" s="32" t="s">
        <v>42</v>
      </c>
      <c r="C10" s="32" t="s">
        <v>43</v>
      </c>
      <c r="D10" s="32" t="s">
        <v>44</v>
      </c>
      <c r="E10" s="32" t="s">
        <v>45</v>
      </c>
      <c r="F10" s="33" t="s">
        <v>46</v>
      </c>
      <c r="G10" s="32" t="s">
        <v>47</v>
      </c>
      <c r="H10" s="32" t="s">
        <v>48</v>
      </c>
      <c r="I10" s="32" t="s">
        <v>49</v>
      </c>
      <c r="J10" s="32" t="s">
        <v>50</v>
      </c>
      <c r="K10" s="32" t="s">
        <v>51</v>
      </c>
      <c r="L10" s="33" t="s">
        <v>68</v>
      </c>
      <c r="M10" s="33" t="s">
        <v>61</v>
      </c>
      <c r="N10" s="28" t="s">
        <v>54</v>
      </c>
      <c r="O10" s="28" t="s">
        <v>135</v>
      </c>
      <c r="P10" s="27" t="s">
        <v>105</v>
      </c>
      <c r="Q10" s="28" t="s">
        <v>57</v>
      </c>
      <c r="R10" s="30" t="s">
        <v>115</v>
      </c>
      <c r="V10" t="s">
        <v>58</v>
      </c>
      <c r="W10" t="s">
        <v>59</v>
      </c>
      <c r="X10" s="3"/>
      <c r="Z10" t="s">
        <v>60</v>
      </c>
      <c r="AA10" t="s">
        <v>136</v>
      </c>
    </row>
    <row r="11" spans="1:27" x14ac:dyDescent="0.25">
      <c r="A11" s="36"/>
      <c r="B11" s="37"/>
      <c r="C11" s="37"/>
      <c r="D11" s="37"/>
      <c r="E11" s="37"/>
      <c r="F11" s="38" t="s">
        <v>63</v>
      </c>
      <c r="G11" s="37" t="s">
        <v>64</v>
      </c>
      <c r="H11" s="37" t="s">
        <v>65</v>
      </c>
      <c r="I11" s="37" t="s">
        <v>66</v>
      </c>
      <c r="J11" s="37" t="s">
        <v>67</v>
      </c>
      <c r="K11" s="37" t="s">
        <v>65</v>
      </c>
      <c r="L11" s="98"/>
      <c r="M11" s="98"/>
      <c r="N11" s="38"/>
      <c r="O11" s="38"/>
      <c r="P11" s="40"/>
      <c r="Q11" s="38"/>
      <c r="R11" s="30"/>
      <c r="S11" s="3"/>
      <c r="T11" s="3"/>
      <c r="U11" s="3"/>
      <c r="V11" s="3"/>
      <c r="W11" s="3"/>
      <c r="X11" s="19"/>
      <c r="Z11" s="20" t="s">
        <v>69</v>
      </c>
    </row>
    <row r="12" spans="1:27" x14ac:dyDescent="0.25">
      <c r="A12" s="41">
        <v>0</v>
      </c>
      <c r="B12" s="42">
        <v>39506</v>
      </c>
      <c r="C12" s="43">
        <v>0.28125</v>
      </c>
      <c r="D12" s="140">
        <v>0</v>
      </c>
      <c r="E12" s="41">
        <v>0</v>
      </c>
      <c r="F12" s="45">
        <f>+'[1]Con 5hE'!E13</f>
        <v>0</v>
      </c>
      <c r="G12" s="46">
        <f t="shared" ref="G12:G75" si="0">+F12*E12</f>
        <v>0</v>
      </c>
      <c r="H12" s="47">
        <f>+F12/G83</f>
        <v>0</v>
      </c>
      <c r="I12" s="48">
        <f>+G12/G83</f>
        <v>0</v>
      </c>
      <c r="J12" s="49">
        <f t="shared" ref="J12:J75" si="1">+D12*I12</f>
        <v>0</v>
      </c>
      <c r="K12" s="45">
        <f>+H12*1000</f>
        <v>0</v>
      </c>
      <c r="L12" s="51">
        <f>+D12/(5.148*60)</f>
        <v>0</v>
      </c>
      <c r="M12" s="51">
        <f>+F12/2.423</f>
        <v>0</v>
      </c>
      <c r="N12" s="51">
        <f>+(1/(2*SQRT(3.1416*0.1886))*EXP(-((1-L12)^2/(4*0.1886))))</f>
        <v>0.17256063929519819</v>
      </c>
      <c r="O12" s="51">
        <f>+(1/(2*SQRT(3.1416*0.2499))*EXP(-((1-L12)^2/(4*0.2499))))</f>
        <v>0.20751197457232406</v>
      </c>
      <c r="P12" s="51" t="e">
        <f>+(1/(2*SQRT(3.1416*L12^3*0.1255))*EXP(-((1-L12)^2/(4*L12*0.1255))))</f>
        <v>#DIV/0!</v>
      </c>
      <c r="Q12" s="50">
        <f>+(2.6513*(2.6513*L12)^(2.6513-1)/FACT(2.6513-1))*EXP(-2.6513*L12)</f>
        <v>0</v>
      </c>
      <c r="R12" s="19">
        <f>+(Q12-M12)^2</f>
        <v>0</v>
      </c>
      <c r="S12" s="141">
        <f t="shared" ref="S12:S75" si="2">1666/1000*F12*E12</f>
        <v>0</v>
      </c>
      <c r="T12" s="19">
        <f>+S12/(5000*0.25)*100</f>
        <v>0</v>
      </c>
      <c r="U12" s="19">
        <f>+U11+T12</f>
        <v>0</v>
      </c>
      <c r="V12" s="53">
        <f>+G12</f>
        <v>0</v>
      </c>
      <c r="W12" s="19">
        <f>+V12/755.28*100</f>
        <v>0</v>
      </c>
      <c r="X12" s="12"/>
      <c r="Z12" s="54">
        <f>1-W12/100</f>
        <v>1</v>
      </c>
      <c r="AA12">
        <f>2.243*EXP(-(1/0.8717)*(L12-(1-0.8717)))</f>
        <v>2.5986651767618127</v>
      </c>
    </row>
    <row r="13" spans="1:27" x14ac:dyDescent="0.25">
      <c r="A13" s="41">
        <v>1</v>
      </c>
      <c r="B13" s="42">
        <v>39506</v>
      </c>
      <c r="C13" s="43"/>
      <c r="D13" s="142">
        <v>3</v>
      </c>
      <c r="E13" s="41">
        <v>3</v>
      </c>
      <c r="F13" s="45">
        <f>+'[1]Con 5hE'!E14</f>
        <v>0</v>
      </c>
      <c r="G13" s="46">
        <f t="shared" si="0"/>
        <v>0</v>
      </c>
      <c r="H13" s="47">
        <f>+F13/G83</f>
        <v>0</v>
      </c>
      <c r="I13" s="48">
        <f>+G13/G83</f>
        <v>0</v>
      </c>
      <c r="J13" s="49">
        <f t="shared" si="1"/>
        <v>0</v>
      </c>
      <c r="K13" s="45">
        <f>+H13*1000</f>
        <v>0</v>
      </c>
      <c r="L13" s="51">
        <f t="shared" ref="L13:L76" si="3">+D13/(5.148*60)</f>
        <v>9.7125097125097121E-3</v>
      </c>
      <c r="M13" s="51">
        <f t="shared" ref="M13:M76" si="4">+F13/2.423</f>
        <v>0</v>
      </c>
      <c r="N13" s="51">
        <f t="shared" ref="N13:N76" si="5">+(1/(2*SQRT(3.1416*0.1886))*EXP(-((1-L13)^2/(4*0.1886))))</f>
        <v>0.17703945699569976</v>
      </c>
      <c r="O13" s="51">
        <f t="shared" ref="O13:O76" si="6">+(1/(2*SQRT(3.1416*0.2499))*EXP(-((1-L13)^2/(4*0.2499))))</f>
        <v>0.21156398213383909</v>
      </c>
      <c r="P13" s="51">
        <f t="shared" ref="P13:P76" si="7">+(1/(2*SQRT(3.1416*L13^3*0.1255))*EXP(-((1-L13)^2/(4*L13*0.1255))))</f>
        <v>3.7008767069807377E-85</v>
      </c>
      <c r="Q13" s="50">
        <f t="shared" ref="Q13:Q76" si="8">+(2.6513*(2.6513*L13)^(2.6513-1)/FACT(2.6513-1))*EXP(-2.6513*L13)</f>
        <v>6.1378113574190223E-3</v>
      </c>
      <c r="R13" s="19">
        <f>+(Q13-M13)^2</f>
        <v>3.7672728259261944E-5</v>
      </c>
      <c r="S13" s="141">
        <f t="shared" si="2"/>
        <v>0</v>
      </c>
      <c r="T13" s="19">
        <f>+S13/(5000*0.25)*100</f>
        <v>0</v>
      </c>
      <c r="U13" s="12">
        <f>+U12+T13</f>
        <v>0</v>
      </c>
      <c r="V13" s="53">
        <f>+V12+G13</f>
        <v>0</v>
      </c>
      <c r="W13" s="19">
        <f t="shared" ref="W13:W76" si="9">+V13/755.28*100</f>
        <v>0</v>
      </c>
      <c r="X13" s="12"/>
      <c r="Z13" s="54">
        <f t="shared" ref="Z13:Z76" si="10">1-W13/100</f>
        <v>1</v>
      </c>
      <c r="AA13">
        <f t="shared" ref="AA13:AA76" si="11">2.243*EXP(-(1/0.8717)*(L13-(1-0.8717)))</f>
        <v>2.5698714730316627</v>
      </c>
    </row>
    <row r="14" spans="1:27" x14ac:dyDescent="0.25">
      <c r="A14" s="41">
        <v>2</v>
      </c>
      <c r="B14" s="42">
        <v>39506</v>
      </c>
      <c r="C14" s="43"/>
      <c r="D14" s="142">
        <v>6</v>
      </c>
      <c r="E14" s="41">
        <v>3</v>
      </c>
      <c r="F14" s="45">
        <f>+'[1]Con 5hE'!E15</f>
        <v>0</v>
      </c>
      <c r="G14" s="46">
        <f t="shared" si="0"/>
        <v>0</v>
      </c>
      <c r="H14" s="47">
        <f>+F14/G83</f>
        <v>0</v>
      </c>
      <c r="I14" s="48">
        <f>+G14/G83</f>
        <v>0</v>
      </c>
      <c r="J14" s="49">
        <f t="shared" si="1"/>
        <v>0</v>
      </c>
      <c r="K14" s="45">
        <f>+H14*1000</f>
        <v>0</v>
      </c>
      <c r="L14" s="51">
        <f t="shared" si="3"/>
        <v>1.9425019425019424E-2</v>
      </c>
      <c r="M14" s="51">
        <f t="shared" si="4"/>
        <v>0</v>
      </c>
      <c r="N14" s="51">
        <f t="shared" si="5"/>
        <v>0.18158910380631371</v>
      </c>
      <c r="O14" s="51">
        <f t="shared" si="6"/>
        <v>0.21565440499934777</v>
      </c>
      <c r="P14" s="51">
        <f t="shared" si="7"/>
        <v>4.4174298485756012E-41</v>
      </c>
      <c r="Q14" s="50">
        <f t="shared" si="8"/>
        <v>1.878974767077346E-2</v>
      </c>
      <c r="R14" s="19">
        <f t="shared" ref="R14:R77" si="12">+(Q14-M14)^2</f>
        <v>3.5305461753133667E-4</v>
      </c>
      <c r="S14" s="141">
        <f t="shared" si="2"/>
        <v>0</v>
      </c>
      <c r="T14" s="19">
        <f t="shared" ref="T14:T77" si="13">+S14/(5000*0.25)*100</f>
        <v>0</v>
      </c>
      <c r="U14" s="12">
        <f>+U13+T14</f>
        <v>0</v>
      </c>
      <c r="V14" s="53">
        <f t="shared" ref="V14:V77" si="14">+V13+G14</f>
        <v>0</v>
      </c>
      <c r="W14" s="19">
        <f t="shared" si="9"/>
        <v>0</v>
      </c>
      <c r="X14" s="12"/>
      <c r="Z14" s="54">
        <f t="shared" si="10"/>
        <v>1</v>
      </c>
      <c r="AA14">
        <f t="shared" si="11"/>
        <v>2.5413968090077108</v>
      </c>
    </row>
    <row r="15" spans="1:27" x14ac:dyDescent="0.25">
      <c r="A15" s="41">
        <v>3</v>
      </c>
      <c r="B15" s="42">
        <v>39506</v>
      </c>
      <c r="C15" s="43"/>
      <c r="D15" s="142">
        <v>9</v>
      </c>
      <c r="E15" s="41">
        <v>3</v>
      </c>
      <c r="F15" s="45">
        <f>+'[1]Con 5hE'!E16</f>
        <v>2.4144869215291753E-2</v>
      </c>
      <c r="G15" s="47">
        <f t="shared" si="0"/>
        <v>7.2434607645875254E-2</v>
      </c>
      <c r="H15" s="47">
        <f>+F15/G83</f>
        <v>3.1968202294784124E-5</v>
      </c>
      <c r="I15" s="48">
        <f>+G15/G83</f>
        <v>9.5904606884352365E-5</v>
      </c>
      <c r="J15" s="49">
        <f t="shared" si="1"/>
        <v>8.6314146195917132E-4</v>
      </c>
      <c r="K15" s="45">
        <f t="shared" ref="K15:K78" si="15">+H15*1000</f>
        <v>3.1968202294784122E-2</v>
      </c>
      <c r="L15" s="51">
        <f t="shared" si="3"/>
        <v>2.913752913752914E-2</v>
      </c>
      <c r="M15" s="51">
        <f t="shared" si="4"/>
        <v>9.9648655448996096E-3</v>
      </c>
      <c r="N15" s="51">
        <f t="shared" si="5"/>
        <v>0.18620909536076305</v>
      </c>
      <c r="O15" s="51">
        <f t="shared" si="6"/>
        <v>0.2197824270564476</v>
      </c>
      <c r="P15" s="51">
        <f t="shared" si="7"/>
        <v>1.6528536700077289E-26</v>
      </c>
      <c r="Q15" s="50">
        <f t="shared" si="8"/>
        <v>3.576984215349456E-2</v>
      </c>
      <c r="R15" s="19">
        <f t="shared" si="12"/>
        <v>6.6589681777013267E-4</v>
      </c>
      <c r="S15" s="141">
        <f t="shared" si="2"/>
        <v>0.12067605633802816</v>
      </c>
      <c r="T15" s="19">
        <f t="shared" si="13"/>
        <v>9.6540845070422522E-3</v>
      </c>
      <c r="U15" s="12">
        <f t="shared" ref="U15:U78" si="16">+U14+T15</f>
        <v>9.6540845070422522E-3</v>
      </c>
      <c r="V15" s="53">
        <f t="shared" si="14"/>
        <v>7.2434607645875254E-2</v>
      </c>
      <c r="W15" s="19">
        <f t="shared" si="9"/>
        <v>9.590431051514043E-3</v>
      </c>
      <c r="X15" s="12"/>
      <c r="Z15" s="54">
        <f t="shared" si="10"/>
        <v>0.99990409568948491</v>
      </c>
      <c r="AA15">
        <f t="shared" si="11"/>
        <v>2.5132376496694153</v>
      </c>
    </row>
    <row r="16" spans="1:27" x14ac:dyDescent="0.25">
      <c r="A16" s="41">
        <v>4</v>
      </c>
      <c r="B16" s="42">
        <v>39506</v>
      </c>
      <c r="C16" s="43"/>
      <c r="D16" s="142">
        <v>12</v>
      </c>
      <c r="E16" s="41">
        <v>3</v>
      </c>
      <c r="F16" s="45">
        <f>+'[1]Con 5hE'!E17</f>
        <v>0</v>
      </c>
      <c r="G16" s="47">
        <f t="shared" si="0"/>
        <v>0</v>
      </c>
      <c r="H16" s="47">
        <f>+F16/G83</f>
        <v>0</v>
      </c>
      <c r="I16" s="48">
        <f>+G16/G83</f>
        <v>0</v>
      </c>
      <c r="J16" s="49">
        <f t="shared" si="1"/>
        <v>0</v>
      </c>
      <c r="K16" s="45">
        <f t="shared" si="15"/>
        <v>0</v>
      </c>
      <c r="L16" s="51">
        <f t="shared" si="3"/>
        <v>3.8850038850038848E-2</v>
      </c>
      <c r="M16" s="51">
        <f t="shared" si="4"/>
        <v>0</v>
      </c>
      <c r="N16" s="51">
        <f t="shared" si="5"/>
        <v>0.19089888146717707</v>
      </c>
      <c r="O16" s="51">
        <f t="shared" si="6"/>
        <v>0.22394719500179011</v>
      </c>
      <c r="P16" s="51">
        <f t="shared" si="7"/>
        <v>2.7875703346217797E-19</v>
      </c>
      <c r="Q16" s="50">
        <f t="shared" si="8"/>
        <v>5.6058947424251805E-2</v>
      </c>
      <c r="R16" s="19">
        <f t="shared" si="12"/>
        <v>3.1426055863150279E-3</v>
      </c>
      <c r="S16" s="141">
        <f t="shared" si="2"/>
        <v>0</v>
      </c>
      <c r="T16" s="19">
        <f t="shared" si="13"/>
        <v>0</v>
      </c>
      <c r="U16" s="12">
        <f t="shared" si="16"/>
        <v>9.6540845070422522E-3</v>
      </c>
      <c r="V16" s="53">
        <f t="shared" si="14"/>
        <v>7.2434607645875254E-2</v>
      </c>
      <c r="W16" s="19">
        <f t="shared" si="9"/>
        <v>9.590431051514043E-3</v>
      </c>
      <c r="X16" s="12"/>
      <c r="Y16" s="62"/>
      <c r="Z16" s="54">
        <f t="shared" si="10"/>
        <v>0.99990409568948491</v>
      </c>
      <c r="AA16">
        <f t="shared" si="11"/>
        <v>2.4853904991649345</v>
      </c>
    </row>
    <row r="17" spans="1:27" x14ac:dyDescent="0.25">
      <c r="A17" s="41">
        <v>5</v>
      </c>
      <c r="B17" s="42">
        <v>39506</v>
      </c>
      <c r="C17" s="43"/>
      <c r="D17" s="142">
        <v>15</v>
      </c>
      <c r="E17" s="41">
        <v>3</v>
      </c>
      <c r="F17" s="45">
        <f>+'[1]Con 5hE'!E18</f>
        <v>0</v>
      </c>
      <c r="G17" s="47">
        <f t="shared" si="0"/>
        <v>0</v>
      </c>
      <c r="H17" s="47">
        <f>+F17/G83</f>
        <v>0</v>
      </c>
      <c r="I17" s="48">
        <f>+G17/G83</f>
        <v>0</v>
      </c>
      <c r="J17" s="49">
        <f t="shared" si="1"/>
        <v>0</v>
      </c>
      <c r="K17" s="45">
        <f t="shared" si="15"/>
        <v>0</v>
      </c>
      <c r="L17" s="51">
        <f t="shared" si="3"/>
        <v>4.856254856254856E-2</v>
      </c>
      <c r="M17" s="51">
        <f t="shared" si="4"/>
        <v>0</v>
      </c>
      <c r="N17" s="51">
        <f t="shared" si="5"/>
        <v>0.19565784499074806</v>
      </c>
      <c r="O17" s="51">
        <f t="shared" si="6"/>
        <v>0.22814781827949074</v>
      </c>
      <c r="P17" s="51">
        <f t="shared" si="7"/>
        <v>5.5608285694590185E-15</v>
      </c>
      <c r="Q17" s="50">
        <f t="shared" si="8"/>
        <v>7.8974888825242048E-2</v>
      </c>
      <c r="R17" s="19">
        <f t="shared" si="12"/>
        <v>6.2370330649593412E-3</v>
      </c>
      <c r="S17" s="141">
        <f t="shared" si="2"/>
        <v>0</v>
      </c>
      <c r="T17" s="19">
        <f t="shared" si="13"/>
        <v>0</v>
      </c>
      <c r="U17" s="12">
        <f t="shared" si="16"/>
        <v>9.6540845070422522E-3</v>
      </c>
      <c r="V17" s="53">
        <f t="shared" si="14"/>
        <v>7.2434607645875254E-2</v>
      </c>
      <c r="W17" s="19">
        <f t="shared" si="9"/>
        <v>9.590431051514043E-3</v>
      </c>
      <c r="X17" s="12"/>
      <c r="Y17" s="3"/>
      <c r="Z17" s="54">
        <f t="shared" si="10"/>
        <v>0.99990409568948491</v>
      </c>
      <c r="AA17">
        <f t="shared" si="11"/>
        <v>2.4578519003771295</v>
      </c>
    </row>
    <row r="18" spans="1:27" x14ac:dyDescent="0.25">
      <c r="A18" s="41">
        <v>6</v>
      </c>
      <c r="B18" s="42">
        <v>39506</v>
      </c>
      <c r="C18" s="43"/>
      <c r="D18" s="142">
        <v>18</v>
      </c>
      <c r="E18" s="41">
        <v>3</v>
      </c>
      <c r="F18" s="45">
        <f>+'[1]Con 5hE'!E19</f>
        <v>0</v>
      </c>
      <c r="G18" s="47">
        <f t="shared" si="0"/>
        <v>0</v>
      </c>
      <c r="H18" s="47">
        <f>+F18/G83</f>
        <v>0</v>
      </c>
      <c r="I18" s="48">
        <f>+G18/G83</f>
        <v>0</v>
      </c>
      <c r="J18" s="49">
        <f t="shared" si="1"/>
        <v>0</v>
      </c>
      <c r="K18" s="45">
        <f t="shared" si="15"/>
        <v>0</v>
      </c>
      <c r="L18" s="51">
        <f t="shared" si="3"/>
        <v>5.8275058275058279E-2</v>
      </c>
      <c r="M18" s="51">
        <f t="shared" si="4"/>
        <v>0</v>
      </c>
      <c r="N18" s="51">
        <f t="shared" si="5"/>
        <v>0.20048530079284985</v>
      </c>
      <c r="O18" s="51">
        <f t="shared" si="6"/>
        <v>0.23238336905384835</v>
      </c>
      <c r="P18" s="51">
        <f t="shared" si="7"/>
        <v>3.8644341349916276E-12</v>
      </c>
      <c r="Q18" s="50">
        <f t="shared" si="8"/>
        <v>0.10400580851622863</v>
      </c>
      <c r="R18" s="19">
        <f t="shared" si="12"/>
        <v>1.0817208205114417E-2</v>
      </c>
      <c r="S18" s="141">
        <f t="shared" si="2"/>
        <v>0</v>
      </c>
      <c r="T18" s="19">
        <f t="shared" si="13"/>
        <v>0</v>
      </c>
      <c r="U18" s="12">
        <f t="shared" si="16"/>
        <v>9.6540845070422522E-3</v>
      </c>
      <c r="V18" s="53">
        <f t="shared" si="14"/>
        <v>7.2434607645875254E-2</v>
      </c>
      <c r="W18" s="19">
        <f t="shared" si="9"/>
        <v>9.590431051514043E-3</v>
      </c>
      <c r="X18" s="12"/>
      <c r="Y18" s="3"/>
      <c r="Z18" s="54">
        <f t="shared" si="10"/>
        <v>0.99990409568948491</v>
      </c>
      <c r="AA18">
        <f t="shared" si="11"/>
        <v>2.4306184344943751</v>
      </c>
    </row>
    <row r="19" spans="1:27" x14ac:dyDescent="0.25">
      <c r="A19" s="41">
        <v>7</v>
      </c>
      <c r="B19" s="42">
        <v>39506</v>
      </c>
      <c r="C19" s="43"/>
      <c r="D19" s="142">
        <v>21</v>
      </c>
      <c r="E19" s="41">
        <v>3</v>
      </c>
      <c r="F19" s="45">
        <f>+'[1]Con 5hE'!E20</f>
        <v>0</v>
      </c>
      <c r="G19" s="47">
        <f t="shared" si="0"/>
        <v>0</v>
      </c>
      <c r="H19" s="47">
        <f>+F19/G83</f>
        <v>0</v>
      </c>
      <c r="I19" s="48">
        <f>+G19/G83</f>
        <v>0</v>
      </c>
      <c r="J19" s="49">
        <f t="shared" si="1"/>
        <v>0</v>
      </c>
      <c r="K19" s="45">
        <f t="shared" si="15"/>
        <v>0</v>
      </c>
      <c r="L19" s="51">
        <f t="shared" si="3"/>
        <v>6.7987567987567984E-2</v>
      </c>
      <c r="M19" s="51">
        <f t="shared" si="4"/>
        <v>0</v>
      </c>
      <c r="N19" s="51">
        <f t="shared" si="5"/>
        <v>0.20538049472965192</v>
      </c>
      <c r="O19" s="51">
        <f t="shared" si="6"/>
        <v>0.23665288221705677</v>
      </c>
      <c r="P19" s="51">
        <f t="shared" si="7"/>
        <v>3.9724986382889585E-10</v>
      </c>
      <c r="Q19" s="50">
        <f t="shared" si="8"/>
        <v>0.13074449375650574</v>
      </c>
      <c r="R19" s="19">
        <f t="shared" si="12"/>
        <v>1.7094122647644969E-2</v>
      </c>
      <c r="S19" s="141">
        <f t="shared" si="2"/>
        <v>0</v>
      </c>
      <c r="T19" s="19">
        <f t="shared" si="13"/>
        <v>0</v>
      </c>
      <c r="U19" s="12">
        <f t="shared" si="16"/>
        <v>9.6540845070422522E-3</v>
      </c>
      <c r="V19" s="53">
        <f t="shared" si="14"/>
        <v>7.2434607645875254E-2</v>
      </c>
      <c r="W19" s="19">
        <f t="shared" si="9"/>
        <v>9.590431051514043E-3</v>
      </c>
      <c r="X19" s="12"/>
      <c r="Z19" s="54">
        <f t="shared" si="10"/>
        <v>0.99990409568948491</v>
      </c>
      <c r="AA19">
        <f t="shared" si="11"/>
        <v>2.4036867205861285</v>
      </c>
    </row>
    <row r="20" spans="1:27" x14ac:dyDescent="0.25">
      <c r="A20" s="41">
        <v>8</v>
      </c>
      <c r="B20" s="42">
        <v>39506</v>
      </c>
      <c r="C20" s="43"/>
      <c r="D20" s="142">
        <v>24</v>
      </c>
      <c r="E20" s="41">
        <v>3</v>
      </c>
      <c r="F20" s="45">
        <f>+'[1]Con 5hE'!E21</f>
        <v>0</v>
      </c>
      <c r="G20" s="47">
        <f t="shared" si="0"/>
        <v>0</v>
      </c>
      <c r="H20" s="47">
        <f>+F20/G83</f>
        <v>0</v>
      </c>
      <c r="I20" s="48">
        <f>+G20/G83</f>
        <v>0</v>
      </c>
      <c r="J20" s="49">
        <f t="shared" si="1"/>
        <v>0</v>
      </c>
      <c r="K20" s="45">
        <f t="shared" si="15"/>
        <v>0</v>
      </c>
      <c r="L20" s="51">
        <f t="shared" si="3"/>
        <v>7.7700077700077697E-2</v>
      </c>
      <c r="M20" s="51">
        <f t="shared" si="4"/>
        <v>0</v>
      </c>
      <c r="N20" s="51">
        <f t="shared" si="5"/>
        <v>0.21034260271323277</v>
      </c>
      <c r="O20" s="51">
        <f t="shared" si="6"/>
        <v>0.24095535543255486</v>
      </c>
      <c r="P20" s="51">
        <f t="shared" si="7"/>
        <v>1.2424351176257291E-8</v>
      </c>
      <c r="Q20" s="50">
        <f t="shared" si="8"/>
        <v>0.15885543915236511</v>
      </c>
      <c r="R20" s="19">
        <f t="shared" si="12"/>
        <v>2.5235050548290772E-2</v>
      </c>
      <c r="S20" s="141">
        <f t="shared" si="2"/>
        <v>0</v>
      </c>
      <c r="T20" s="19">
        <f t="shared" si="13"/>
        <v>0</v>
      </c>
      <c r="U20" s="12">
        <f t="shared" si="16"/>
        <v>9.6540845070422522E-3</v>
      </c>
      <c r="V20" s="53">
        <f t="shared" si="14"/>
        <v>7.2434607645875254E-2</v>
      </c>
      <c r="W20" s="19">
        <f t="shared" si="9"/>
        <v>9.590431051514043E-3</v>
      </c>
      <c r="X20" s="12"/>
      <c r="Y20" s="3"/>
      <c r="Z20" s="54">
        <f t="shared" si="10"/>
        <v>0.99990409568948491</v>
      </c>
      <c r="AA20">
        <f t="shared" si="11"/>
        <v>2.3770534151832003</v>
      </c>
    </row>
    <row r="21" spans="1:27" x14ac:dyDescent="0.25">
      <c r="A21" s="41">
        <v>9</v>
      </c>
      <c r="B21" s="42">
        <v>39506</v>
      </c>
      <c r="C21" s="43"/>
      <c r="D21" s="142">
        <v>27</v>
      </c>
      <c r="E21" s="41">
        <v>3</v>
      </c>
      <c r="F21" s="45">
        <f>+'[1]Con 5hE'!E22</f>
        <v>0</v>
      </c>
      <c r="G21" s="47">
        <f t="shared" si="0"/>
        <v>0</v>
      </c>
      <c r="H21" s="47">
        <f>+F21/G83</f>
        <v>0</v>
      </c>
      <c r="I21" s="48">
        <f>+G21/G83</f>
        <v>0</v>
      </c>
      <c r="J21" s="49">
        <f t="shared" si="1"/>
        <v>0</v>
      </c>
      <c r="K21" s="45">
        <f t="shared" si="15"/>
        <v>0</v>
      </c>
      <c r="L21" s="51">
        <f t="shared" si="3"/>
        <v>8.7412587412587409E-2</v>
      </c>
      <c r="M21" s="51">
        <f t="shared" si="4"/>
        <v>0</v>
      </c>
      <c r="N21" s="51">
        <f t="shared" si="5"/>
        <v>0.21537072983815972</v>
      </c>
      <c r="O21" s="51">
        <f t="shared" si="6"/>
        <v>0.24528974921462729</v>
      </c>
      <c r="P21" s="51">
        <f t="shared" si="7"/>
        <v>1.7630963634462573E-7</v>
      </c>
      <c r="Q21" s="50">
        <f t="shared" si="8"/>
        <v>0.18805584201437189</v>
      </c>
      <c r="R21" s="19">
        <f t="shared" si="12"/>
        <v>3.5364999715734403E-2</v>
      </c>
      <c r="S21" s="141">
        <f t="shared" si="2"/>
        <v>0</v>
      </c>
      <c r="T21" s="19">
        <f t="shared" si="13"/>
        <v>0</v>
      </c>
      <c r="U21" s="12">
        <f t="shared" si="16"/>
        <v>9.6540845070422522E-3</v>
      </c>
      <c r="V21" s="53">
        <f t="shared" si="14"/>
        <v>7.2434607645875254E-2</v>
      </c>
      <c r="W21" s="19">
        <f t="shared" si="9"/>
        <v>9.590431051514043E-3</v>
      </c>
      <c r="X21" s="12"/>
      <c r="Y21" s="3"/>
      <c r="Z21" s="54">
        <f t="shared" si="10"/>
        <v>0.99990409568948491</v>
      </c>
      <c r="AA21">
        <f t="shared" si="11"/>
        <v>2.3507152118626733</v>
      </c>
    </row>
    <row r="22" spans="1:27" x14ac:dyDescent="0.25">
      <c r="A22" s="41">
        <v>10</v>
      </c>
      <c r="B22" s="42">
        <v>39506</v>
      </c>
      <c r="C22" s="43"/>
      <c r="D22" s="142">
        <v>30</v>
      </c>
      <c r="E22" s="41">
        <v>3</v>
      </c>
      <c r="F22" s="45">
        <f>+'[1]Con 5hE'!E23</f>
        <v>0</v>
      </c>
      <c r="G22" s="47">
        <f t="shared" si="0"/>
        <v>0</v>
      </c>
      <c r="H22" s="47">
        <f>+F22/G83</f>
        <v>0</v>
      </c>
      <c r="I22" s="48">
        <f>+G22/G83</f>
        <v>0</v>
      </c>
      <c r="J22" s="49">
        <f t="shared" si="1"/>
        <v>0</v>
      </c>
      <c r="K22" s="45">
        <f t="shared" si="15"/>
        <v>0</v>
      </c>
      <c r="L22" s="51">
        <f t="shared" si="3"/>
        <v>9.7125097125097121E-2</v>
      </c>
      <c r="M22" s="51">
        <f t="shared" si="4"/>
        <v>0</v>
      </c>
      <c r="N22" s="51">
        <f t="shared" si="5"/>
        <v>0.22046390957646053</v>
      </c>
      <c r="O22" s="51">
        <f t="shared" si="6"/>
        <v>0.24965498704483113</v>
      </c>
      <c r="P22" s="51">
        <f t="shared" si="7"/>
        <v>1.4419300482726147E-6</v>
      </c>
      <c r="Q22" s="50">
        <f t="shared" si="8"/>
        <v>0.2181035594239738</v>
      </c>
      <c r="R22" s="19">
        <f t="shared" si="12"/>
        <v>4.7569162633406874E-2</v>
      </c>
      <c r="S22" s="141">
        <f t="shared" si="2"/>
        <v>0</v>
      </c>
      <c r="T22" s="19">
        <f t="shared" si="13"/>
        <v>0</v>
      </c>
      <c r="U22" s="12">
        <f t="shared" si="16"/>
        <v>9.6540845070422522E-3</v>
      </c>
      <c r="V22" s="53">
        <f t="shared" si="14"/>
        <v>7.2434607645875254E-2</v>
      </c>
      <c r="W22" s="19">
        <f t="shared" si="9"/>
        <v>9.590431051514043E-3</v>
      </c>
      <c r="X22" s="12"/>
      <c r="Y22" s="3"/>
      <c r="Z22" s="54">
        <f t="shared" si="10"/>
        <v>0.99990409568948491</v>
      </c>
      <c r="AA22">
        <f t="shared" si="11"/>
        <v>2.324668840837425</v>
      </c>
    </row>
    <row r="23" spans="1:27" x14ac:dyDescent="0.25">
      <c r="A23" s="41">
        <v>11</v>
      </c>
      <c r="B23" s="42">
        <v>39506</v>
      </c>
      <c r="C23" s="43"/>
      <c r="D23" s="142">
        <v>33</v>
      </c>
      <c r="E23" s="41">
        <v>3</v>
      </c>
      <c r="F23" s="45">
        <f>+'[1]Con 5hE'!E24</f>
        <v>0</v>
      </c>
      <c r="G23" s="47">
        <f t="shared" si="0"/>
        <v>0</v>
      </c>
      <c r="H23" s="47">
        <f>+F23/G83</f>
        <v>0</v>
      </c>
      <c r="I23" s="48">
        <f>+G23/G83</f>
        <v>0</v>
      </c>
      <c r="J23" s="49">
        <f t="shared" si="1"/>
        <v>0</v>
      </c>
      <c r="K23" s="45">
        <f t="shared" si="15"/>
        <v>0</v>
      </c>
      <c r="L23" s="51">
        <f t="shared" si="3"/>
        <v>0.10683760683760683</v>
      </c>
      <c r="M23" s="51">
        <f t="shared" si="4"/>
        <v>0</v>
      </c>
      <c r="N23" s="51">
        <f t="shared" si="5"/>
        <v>0.22562110304386013</v>
      </c>
      <c r="O23" s="51">
        <f t="shared" si="6"/>
        <v>0.2540499555257853</v>
      </c>
      <c r="P23" s="51">
        <f t="shared" si="7"/>
        <v>7.910661934492252E-6</v>
      </c>
      <c r="Q23" s="50">
        <f t="shared" si="8"/>
        <v>0.24878894239593183</v>
      </c>
      <c r="R23" s="19">
        <f t="shared" si="12"/>
        <v>6.1895937858486287E-2</v>
      </c>
      <c r="S23" s="141">
        <f t="shared" si="2"/>
        <v>0</v>
      </c>
      <c r="T23" s="19">
        <f t="shared" si="13"/>
        <v>0</v>
      </c>
      <c r="U23" s="12">
        <f t="shared" si="16"/>
        <v>9.6540845070422522E-3</v>
      </c>
      <c r="V23" s="53">
        <f t="shared" si="14"/>
        <v>7.2434607645875254E-2</v>
      </c>
      <c r="W23" s="19">
        <f t="shared" si="9"/>
        <v>9.590431051514043E-3</v>
      </c>
      <c r="X23" s="12"/>
      <c r="Y23" s="3"/>
      <c r="Z23" s="54">
        <f t="shared" si="10"/>
        <v>0.99990409568948491</v>
      </c>
      <c r="AA23">
        <f t="shared" si="11"/>
        <v>2.2989110685501957</v>
      </c>
    </row>
    <row r="24" spans="1:27" x14ac:dyDescent="0.25">
      <c r="A24" s="41">
        <v>12</v>
      </c>
      <c r="B24" s="42">
        <v>39506</v>
      </c>
      <c r="C24" s="43"/>
      <c r="D24" s="142">
        <v>36</v>
      </c>
      <c r="E24" s="41">
        <v>3</v>
      </c>
      <c r="F24" s="45">
        <f>+'[1]Con 5hE'!E25</f>
        <v>0</v>
      </c>
      <c r="G24" s="47">
        <f t="shared" si="0"/>
        <v>0</v>
      </c>
      <c r="H24" s="47">
        <f>+F24/G83</f>
        <v>0</v>
      </c>
      <c r="I24" s="48">
        <f>+G24/G83</f>
        <v>0</v>
      </c>
      <c r="J24" s="49">
        <f t="shared" si="1"/>
        <v>0</v>
      </c>
      <c r="K24" s="45">
        <f t="shared" si="15"/>
        <v>0</v>
      </c>
      <c r="L24" s="51">
        <f t="shared" si="3"/>
        <v>0.11655011655011656</v>
      </c>
      <c r="M24" s="51">
        <f t="shared" si="4"/>
        <v>0</v>
      </c>
      <c r="N24" s="51">
        <f t="shared" si="5"/>
        <v>0.23084119834010022</v>
      </c>
      <c r="O24" s="51">
        <f t="shared" si="6"/>
        <v>0.25847350457281776</v>
      </c>
      <c r="P24" s="51">
        <f t="shared" si="7"/>
        <v>3.2205319078784838E-5</v>
      </c>
      <c r="Q24" s="50">
        <f t="shared" si="8"/>
        <v>0.27992900738097432</v>
      </c>
      <c r="R24" s="19">
        <f t="shared" si="12"/>
        <v>7.8360249173297578E-2</v>
      </c>
      <c r="S24" s="141">
        <f t="shared" si="2"/>
        <v>0</v>
      </c>
      <c r="T24" s="19">
        <f t="shared" si="13"/>
        <v>0</v>
      </c>
      <c r="U24" s="12">
        <f t="shared" si="16"/>
        <v>9.6540845070422522E-3</v>
      </c>
      <c r="V24" s="53">
        <f t="shared" si="14"/>
        <v>7.2434607645875254E-2</v>
      </c>
      <c r="W24" s="19">
        <f t="shared" si="9"/>
        <v>9.590431051514043E-3</v>
      </c>
      <c r="X24" s="12"/>
      <c r="Y24" s="3"/>
      <c r="Z24" s="54">
        <f t="shared" si="10"/>
        <v>0.99990409568948491</v>
      </c>
      <c r="AA24">
        <f t="shared" si="11"/>
        <v>2.2734386972721539</v>
      </c>
    </row>
    <row r="25" spans="1:27" x14ac:dyDescent="0.25">
      <c r="A25" s="41">
        <v>13</v>
      </c>
      <c r="B25" s="42">
        <v>39506</v>
      </c>
      <c r="C25" s="43"/>
      <c r="D25" s="142">
        <v>39</v>
      </c>
      <c r="E25" s="41">
        <v>3</v>
      </c>
      <c r="F25" s="45">
        <f>+'[1]Con 5hE'!E26</f>
        <v>0</v>
      </c>
      <c r="G25" s="47">
        <f t="shared" si="0"/>
        <v>0</v>
      </c>
      <c r="H25" s="47">
        <f>+F25/G83</f>
        <v>0</v>
      </c>
      <c r="I25" s="48">
        <f>+G25/G83</f>
        <v>0</v>
      </c>
      <c r="J25" s="49">
        <f t="shared" si="1"/>
        <v>0</v>
      </c>
      <c r="K25" s="45">
        <f t="shared" si="15"/>
        <v>0</v>
      </c>
      <c r="L25" s="51">
        <f t="shared" si="3"/>
        <v>0.12626262626262627</v>
      </c>
      <c r="M25" s="51">
        <f t="shared" si="4"/>
        <v>0</v>
      </c>
      <c r="N25" s="51">
        <f t="shared" si="5"/>
        <v>0.23612300996609428</v>
      </c>
      <c r="O25" s="51">
        <f t="shared" si="6"/>
        <v>0.26292444764392681</v>
      </c>
      <c r="P25" s="51">
        <f t="shared" si="7"/>
        <v>1.0431977831490266E-4</v>
      </c>
      <c r="Q25" s="50">
        <f t="shared" si="8"/>
        <v>0.31136310525117461</v>
      </c>
      <c r="R25" s="19">
        <f t="shared" si="12"/>
        <v>9.6946983311654036E-2</v>
      </c>
      <c r="S25" s="141">
        <f t="shared" si="2"/>
        <v>0</v>
      </c>
      <c r="T25" s="19">
        <f t="shared" si="13"/>
        <v>0</v>
      </c>
      <c r="U25" s="12">
        <f t="shared" si="16"/>
        <v>9.6540845070422522E-3</v>
      </c>
      <c r="V25" s="53">
        <f t="shared" si="14"/>
        <v>7.2434607645875254E-2</v>
      </c>
      <c r="W25" s="19">
        <f t="shared" si="9"/>
        <v>9.590431051514043E-3</v>
      </c>
      <c r="X25" s="12"/>
      <c r="Y25" s="3"/>
      <c r="Z25" s="54">
        <f t="shared" si="10"/>
        <v>0.99990409568948491</v>
      </c>
      <c r="AA25">
        <f t="shared" si="11"/>
        <v>2.2482485647059094</v>
      </c>
    </row>
    <row r="26" spans="1:27" x14ac:dyDescent="0.25">
      <c r="A26" s="41">
        <v>14</v>
      </c>
      <c r="B26" s="42">
        <v>39506</v>
      </c>
      <c r="C26" s="43"/>
      <c r="D26" s="142">
        <v>42</v>
      </c>
      <c r="E26" s="41">
        <v>3</v>
      </c>
      <c r="F26" s="45">
        <f>+'[1]Con 5hE'!E27</f>
        <v>0</v>
      </c>
      <c r="G26" s="47">
        <f t="shared" si="0"/>
        <v>0</v>
      </c>
      <c r="H26" s="47">
        <f>+F26/G83</f>
        <v>0</v>
      </c>
      <c r="I26" s="48">
        <f>+G26/G83</f>
        <v>0</v>
      </c>
      <c r="J26" s="49">
        <f t="shared" si="1"/>
        <v>0</v>
      </c>
      <c r="K26" s="45">
        <f t="shared" si="15"/>
        <v>0</v>
      </c>
      <c r="L26" s="51">
        <f t="shared" si="3"/>
        <v>0.13597513597513597</v>
      </c>
      <c r="M26" s="51">
        <f t="shared" si="4"/>
        <v>0</v>
      </c>
      <c r="N26" s="51">
        <f t="shared" si="5"/>
        <v>0.24146527832060097</v>
      </c>
      <c r="O26" s="51">
        <f t="shared" si="6"/>
        <v>0.26740156200846726</v>
      </c>
      <c r="P26" s="51">
        <f t="shared" si="7"/>
        <v>2.8255473212725706E-4</v>
      </c>
      <c r="Q26" s="50">
        <f t="shared" si="8"/>
        <v>0.34294959724153407</v>
      </c>
      <c r="R26" s="19">
        <f t="shared" si="12"/>
        <v>0.11761442624813043</v>
      </c>
      <c r="S26" s="141">
        <f t="shared" si="2"/>
        <v>0</v>
      </c>
      <c r="T26" s="19">
        <f t="shared" si="13"/>
        <v>0</v>
      </c>
      <c r="U26" s="12">
        <f t="shared" si="16"/>
        <v>9.6540845070422522E-3</v>
      </c>
      <c r="V26" s="53">
        <f t="shared" si="14"/>
        <v>7.2434607645875254E-2</v>
      </c>
      <c r="W26" s="19">
        <f t="shared" si="9"/>
        <v>9.590431051514043E-3</v>
      </c>
      <c r="X26" s="12"/>
      <c r="Y26" s="3"/>
      <c r="Z26" s="54">
        <f t="shared" si="10"/>
        <v>0.99990409568948491</v>
      </c>
      <c r="AA26">
        <f t="shared" si="11"/>
        <v>2.2233375435929306</v>
      </c>
    </row>
    <row r="27" spans="1:27" x14ac:dyDescent="0.25">
      <c r="A27" s="41">
        <v>15</v>
      </c>
      <c r="B27" s="42">
        <v>39506</v>
      </c>
      <c r="C27" s="43"/>
      <c r="D27" s="142">
        <v>45</v>
      </c>
      <c r="E27" s="41">
        <v>3</v>
      </c>
      <c r="F27" s="45">
        <f>+'[1]Con 5hE'!E28</f>
        <v>0</v>
      </c>
      <c r="G27" s="47">
        <f t="shared" si="0"/>
        <v>0</v>
      </c>
      <c r="H27" s="47">
        <f>+F27/G83</f>
        <v>0</v>
      </c>
      <c r="I27" s="48">
        <f>+G27/G83</f>
        <v>0</v>
      </c>
      <c r="J27" s="49">
        <f t="shared" si="1"/>
        <v>0</v>
      </c>
      <c r="K27" s="45">
        <f t="shared" si="15"/>
        <v>0</v>
      </c>
      <c r="L27" s="51">
        <f t="shared" si="3"/>
        <v>0.14568764568764569</v>
      </c>
      <c r="M27" s="51">
        <f t="shared" si="4"/>
        <v>0</v>
      </c>
      <c r="N27" s="51">
        <f t="shared" si="5"/>
        <v>0.24686666927901699</v>
      </c>
      <c r="O27" s="51">
        <f t="shared" si="6"/>
        <v>0.27190358905492912</v>
      </c>
      <c r="P27" s="51">
        <f t="shared" si="7"/>
        <v>6.6361363639125736E-4</v>
      </c>
      <c r="Q27" s="50">
        <f t="shared" si="8"/>
        <v>0.37456323527355229</v>
      </c>
      <c r="R27" s="19">
        <f t="shared" si="12"/>
        <v>0.14029761721859049</v>
      </c>
      <c r="S27" s="141">
        <f t="shared" si="2"/>
        <v>0</v>
      </c>
      <c r="T27" s="19">
        <f t="shared" si="13"/>
        <v>0</v>
      </c>
      <c r="U27" s="12">
        <f t="shared" si="16"/>
        <v>9.6540845070422522E-3</v>
      </c>
      <c r="V27" s="53">
        <f t="shared" si="14"/>
        <v>7.2434607645875254E-2</v>
      </c>
      <c r="W27" s="19">
        <f t="shared" si="9"/>
        <v>9.590431051514043E-3</v>
      </c>
      <c r="X27" s="19"/>
      <c r="Y27" s="3"/>
      <c r="Z27" s="54">
        <f t="shared" si="10"/>
        <v>0.99990409568948491</v>
      </c>
      <c r="AA27">
        <f t="shared" si="11"/>
        <v>2.1987025413253023</v>
      </c>
    </row>
    <row r="28" spans="1:27" x14ac:dyDescent="0.25">
      <c r="A28" s="41">
        <v>16</v>
      </c>
      <c r="B28" s="42">
        <v>39506</v>
      </c>
      <c r="C28" s="43"/>
      <c r="D28" s="142">
        <v>48</v>
      </c>
      <c r="E28" s="41">
        <v>3</v>
      </c>
      <c r="F28" s="45">
        <f>+'[1]Con 5hE'!E29</f>
        <v>0</v>
      </c>
      <c r="G28" s="47">
        <f t="shared" si="0"/>
        <v>0</v>
      </c>
      <c r="H28" s="47">
        <f>+F28/G83</f>
        <v>0</v>
      </c>
      <c r="I28" s="48">
        <f>+G28/G83</f>
        <v>0</v>
      </c>
      <c r="J28" s="49">
        <f t="shared" si="1"/>
        <v>0</v>
      </c>
      <c r="K28" s="45">
        <f t="shared" si="15"/>
        <v>0</v>
      </c>
      <c r="L28" s="51">
        <f t="shared" si="3"/>
        <v>0.15540015540015539</v>
      </c>
      <c r="M28" s="51">
        <f t="shared" si="4"/>
        <v>0</v>
      </c>
      <c r="N28" s="51">
        <f t="shared" si="5"/>
        <v>0.25232577385680915</v>
      </c>
      <c r="O28" s="51">
        <f t="shared" si="6"/>
        <v>0.27642923463813063</v>
      </c>
      <c r="P28" s="51">
        <f t="shared" si="7"/>
        <v>1.3887042122163159E-3</v>
      </c>
      <c r="Q28" s="50">
        <f t="shared" si="8"/>
        <v>0.40609305148441427</v>
      </c>
      <c r="R28" s="19">
        <f t="shared" si="12"/>
        <v>0.16491156646392313</v>
      </c>
      <c r="S28" s="141">
        <f t="shared" si="2"/>
        <v>0</v>
      </c>
      <c r="T28" s="19">
        <f t="shared" si="13"/>
        <v>0</v>
      </c>
      <c r="U28" s="12">
        <f t="shared" si="16"/>
        <v>9.6540845070422522E-3</v>
      </c>
      <c r="V28" s="53">
        <f t="shared" si="14"/>
        <v>7.2434607645875254E-2</v>
      </c>
      <c r="W28" s="19">
        <f t="shared" si="9"/>
        <v>9.590431051514043E-3</v>
      </c>
      <c r="X28" s="19"/>
      <c r="Y28" s="66"/>
      <c r="Z28" s="54">
        <f t="shared" si="10"/>
        <v>0.99990409568948491</v>
      </c>
      <c r="AA28">
        <f t="shared" si="11"/>
        <v>2.1743404995617932</v>
      </c>
    </row>
    <row r="29" spans="1:27" x14ac:dyDescent="0.25">
      <c r="A29" s="41">
        <v>17</v>
      </c>
      <c r="B29" s="42">
        <v>39506</v>
      </c>
      <c r="C29" s="43"/>
      <c r="D29" s="142">
        <v>51</v>
      </c>
      <c r="E29" s="41">
        <v>3</v>
      </c>
      <c r="F29" s="45">
        <f>+'[1]Con 5hE'!E30</f>
        <v>0</v>
      </c>
      <c r="G29" s="47">
        <f t="shared" si="0"/>
        <v>0</v>
      </c>
      <c r="H29" s="47">
        <f>+F29/G83</f>
        <v>0</v>
      </c>
      <c r="I29" s="48">
        <f>+G29/G83</f>
        <v>0</v>
      </c>
      <c r="J29" s="49">
        <f t="shared" si="1"/>
        <v>0</v>
      </c>
      <c r="K29" s="45">
        <f t="shared" si="15"/>
        <v>0</v>
      </c>
      <c r="L29" s="51">
        <f t="shared" si="3"/>
        <v>0.16511266511266512</v>
      </c>
      <c r="M29" s="51">
        <f t="shared" si="4"/>
        <v>0</v>
      </c>
      <c r="N29" s="51">
        <f t="shared" si="5"/>
        <v>0.25784110796000959</v>
      </c>
      <c r="O29" s="51">
        <f t="shared" si="6"/>
        <v>0.28097716946609969</v>
      </c>
      <c r="P29" s="51">
        <f t="shared" si="7"/>
        <v>2.6435671074664961E-3</v>
      </c>
      <c r="Q29" s="50">
        <f t="shared" si="8"/>
        <v>0.43744062626533986</v>
      </c>
      <c r="R29" s="19">
        <f t="shared" si="12"/>
        <v>0.19135430150741276</v>
      </c>
      <c r="S29" s="141">
        <f t="shared" si="2"/>
        <v>0</v>
      </c>
      <c r="T29" s="19">
        <f t="shared" si="13"/>
        <v>0</v>
      </c>
      <c r="U29" s="12">
        <f t="shared" si="16"/>
        <v>9.6540845070422522E-3</v>
      </c>
      <c r="V29" s="53">
        <f t="shared" si="14"/>
        <v>7.2434607645875254E-2</v>
      </c>
      <c r="W29" s="19">
        <f t="shared" si="9"/>
        <v>9.590431051514043E-3</v>
      </c>
      <c r="Y29" s="3"/>
      <c r="Z29" s="54">
        <f t="shared" si="10"/>
        <v>0.99990409568948491</v>
      </c>
      <c r="AA29">
        <f t="shared" si="11"/>
        <v>2.1502483938481736</v>
      </c>
    </row>
    <row r="30" spans="1:27" x14ac:dyDescent="0.25">
      <c r="A30" s="41">
        <v>18</v>
      </c>
      <c r="B30" s="42">
        <v>39506</v>
      </c>
      <c r="C30" s="43"/>
      <c r="D30" s="143">
        <v>54</v>
      </c>
      <c r="E30" s="100">
        <v>3</v>
      </c>
      <c r="F30" s="58">
        <f>+'[1]Con 5hE'!E31</f>
        <v>0</v>
      </c>
      <c r="G30" s="57">
        <f t="shared" si="0"/>
        <v>0</v>
      </c>
      <c r="H30" s="57">
        <f>+F30/G83</f>
        <v>0</v>
      </c>
      <c r="I30" s="102">
        <f>+G30/G83</f>
        <v>0</v>
      </c>
      <c r="J30" s="50">
        <f t="shared" si="1"/>
        <v>0</v>
      </c>
      <c r="K30" s="58">
        <f t="shared" si="15"/>
        <v>0</v>
      </c>
      <c r="L30" s="51">
        <f t="shared" si="3"/>
        <v>0.17482517482517482</v>
      </c>
      <c r="M30" s="51">
        <f t="shared" si="4"/>
        <v>0</v>
      </c>
      <c r="N30" s="51">
        <f t="shared" si="5"/>
        <v>0.26341111222510161</v>
      </c>
      <c r="O30" s="51">
        <f t="shared" si="6"/>
        <v>0.28554602952687136</v>
      </c>
      <c r="P30" s="51">
        <f t="shared" si="7"/>
        <v>4.6520317910007693E-3</v>
      </c>
      <c r="Q30" s="50">
        <f t="shared" si="8"/>
        <v>0.46851864446396352</v>
      </c>
      <c r="R30" s="19">
        <f t="shared" si="12"/>
        <v>0.21950972021034984</v>
      </c>
      <c r="S30" s="141">
        <f t="shared" si="2"/>
        <v>0</v>
      </c>
      <c r="T30" s="19">
        <f t="shared" si="13"/>
        <v>0</v>
      </c>
      <c r="U30" s="12">
        <f t="shared" si="16"/>
        <v>9.6540845070422522E-3</v>
      </c>
      <c r="V30" s="53">
        <f t="shared" si="14"/>
        <v>7.2434607645875254E-2</v>
      </c>
      <c r="W30" s="19">
        <f t="shared" si="9"/>
        <v>9.590431051514043E-3</v>
      </c>
      <c r="X30" s="19"/>
      <c r="Y30" s="3"/>
      <c r="Z30" s="54">
        <f t="shared" si="10"/>
        <v>0.99990409568948491</v>
      </c>
      <c r="AA30">
        <f t="shared" si="11"/>
        <v>2.1264232332417405</v>
      </c>
    </row>
    <row r="31" spans="1:27" x14ac:dyDescent="0.25">
      <c r="A31" s="41">
        <v>19</v>
      </c>
      <c r="B31" s="42">
        <v>39506</v>
      </c>
      <c r="C31" s="43"/>
      <c r="D31" s="144">
        <v>57</v>
      </c>
      <c r="E31" s="100">
        <v>3</v>
      </c>
      <c r="F31" s="58">
        <f>+'[1]Con 5hE'!E32</f>
        <v>2.4144869215291753E-2</v>
      </c>
      <c r="G31" s="57">
        <f t="shared" si="0"/>
        <v>7.2434607645875254E-2</v>
      </c>
      <c r="H31" s="57">
        <f>+F31/G83</f>
        <v>3.1968202294784124E-5</v>
      </c>
      <c r="I31" s="102">
        <f>+G31/G83</f>
        <v>9.5904606884352365E-5</v>
      </c>
      <c r="J31" s="50">
        <f t="shared" si="1"/>
        <v>5.4665625924080847E-3</v>
      </c>
      <c r="K31" s="58">
        <f t="shared" si="15"/>
        <v>3.1968202294784122E-2</v>
      </c>
      <c r="L31" s="51">
        <f t="shared" si="3"/>
        <v>0.18453768453768454</v>
      </c>
      <c r="M31" s="51">
        <f t="shared" si="4"/>
        <v>9.9648655448996096E-3</v>
      </c>
      <c r="N31" s="51">
        <f t="shared" si="5"/>
        <v>0.26903415195051256</v>
      </c>
      <c r="O31" s="51">
        <f t="shared" si="6"/>
        <v>0.29013441655537647</v>
      </c>
      <c r="P31" s="51">
        <f t="shared" si="7"/>
        <v>7.6642146286735853E-3</v>
      </c>
      <c r="Q31" s="50">
        <f t="shared" si="8"/>
        <v>0.49924967556477479</v>
      </c>
      <c r="R31" s="19">
        <f t="shared" si="12"/>
        <v>0.23939962531618533</v>
      </c>
      <c r="S31" s="141">
        <f t="shared" si="2"/>
        <v>0.12067605633802816</v>
      </c>
      <c r="T31" s="19">
        <f t="shared" si="13"/>
        <v>9.6540845070422522E-3</v>
      </c>
      <c r="U31" s="12">
        <f t="shared" si="16"/>
        <v>1.9308169014084504E-2</v>
      </c>
      <c r="V31" s="53">
        <f t="shared" si="14"/>
        <v>0.14486921529175051</v>
      </c>
      <c r="W31" s="19">
        <f t="shared" si="9"/>
        <v>1.9180862103028086E-2</v>
      </c>
      <c r="X31" s="66" t="s">
        <v>72</v>
      </c>
      <c r="Z31" s="54">
        <f t="shared" si="10"/>
        <v>0.9998081913789697</v>
      </c>
      <c r="AA31">
        <f t="shared" si="11"/>
        <v>2.102862059940005</v>
      </c>
    </row>
    <row r="32" spans="1:27" x14ac:dyDescent="0.25">
      <c r="A32" s="41">
        <v>20</v>
      </c>
      <c r="B32" s="42">
        <v>39506</v>
      </c>
      <c r="C32" s="43"/>
      <c r="D32" s="142">
        <v>60</v>
      </c>
      <c r="E32" s="41">
        <v>3</v>
      </c>
      <c r="F32" s="45">
        <f>+'[1]Con 5hE'!E33</f>
        <v>6.438631790744466E-2</v>
      </c>
      <c r="G32" s="47">
        <f t="shared" si="0"/>
        <v>0.19315895372233399</v>
      </c>
      <c r="H32" s="47">
        <f>+F32/G83</f>
        <v>8.5248539452757646E-5</v>
      </c>
      <c r="I32" s="48">
        <f>+G32/G83</f>
        <v>2.5574561835827294E-4</v>
      </c>
      <c r="J32" s="49">
        <f t="shared" si="1"/>
        <v>1.5344737101496376E-2</v>
      </c>
      <c r="K32" s="45">
        <f t="shared" si="15"/>
        <v>8.5248539452757649E-2</v>
      </c>
      <c r="L32" s="51">
        <f t="shared" si="3"/>
        <v>0.19425019425019424</v>
      </c>
      <c r="M32" s="51">
        <f t="shared" si="4"/>
        <v>2.6572974786398952E-2</v>
      </c>
      <c r="N32" s="51">
        <f t="shared" si="5"/>
        <v>0.27470851712182343</v>
      </c>
      <c r="O32" s="51">
        <f t="shared" si="6"/>
        <v>0.29474089854055063</v>
      </c>
      <c r="P32" s="51">
        <f t="shared" si="7"/>
        <v>1.1941387034227702E-2</v>
      </c>
      <c r="Q32" s="50">
        <f t="shared" si="8"/>
        <v>0.52956513114480652</v>
      </c>
      <c r="R32" s="19">
        <f t="shared" si="12"/>
        <v>0.25300110935808073</v>
      </c>
      <c r="S32" s="141">
        <f t="shared" si="2"/>
        <v>0.32180281690140844</v>
      </c>
      <c r="T32" s="19">
        <f t="shared" si="13"/>
        <v>2.5744225352112675E-2</v>
      </c>
      <c r="U32" s="12">
        <f t="shared" si="16"/>
        <v>4.5052394366197179E-2</v>
      </c>
      <c r="V32" s="53">
        <f t="shared" si="14"/>
        <v>0.3380281690140845</v>
      </c>
      <c r="W32" s="19">
        <f t="shared" si="9"/>
        <v>4.4755344907065529E-2</v>
      </c>
      <c r="Y32" s="3"/>
      <c r="Z32" s="54">
        <f t="shared" si="10"/>
        <v>0.99955244655092934</v>
      </c>
      <c r="AA32">
        <f t="shared" si="11"/>
        <v>2.0795619489134913</v>
      </c>
    </row>
    <row r="33" spans="1:27" x14ac:dyDescent="0.25">
      <c r="A33" s="41">
        <v>21</v>
      </c>
      <c r="B33" s="42">
        <v>39506</v>
      </c>
      <c r="C33" s="43"/>
      <c r="D33" s="145">
        <v>65</v>
      </c>
      <c r="E33" s="41">
        <v>5</v>
      </c>
      <c r="F33" s="45">
        <f>+'[1]Con 5hE'!E34</f>
        <v>0.19517102615694165</v>
      </c>
      <c r="G33" s="47">
        <f t="shared" si="0"/>
        <v>0.97585513078470831</v>
      </c>
      <c r="H33" s="47">
        <f>+F33/G83</f>
        <v>2.5840963521617163E-4</v>
      </c>
      <c r="I33" s="48">
        <f>+G33/G83</f>
        <v>1.2920481760808583E-3</v>
      </c>
      <c r="J33" s="49">
        <f t="shared" si="1"/>
        <v>8.3983131445255793E-2</v>
      </c>
      <c r="K33" s="45">
        <f t="shared" si="15"/>
        <v>0.25840963521617161</v>
      </c>
      <c r="L33" s="51">
        <f t="shared" si="3"/>
        <v>0.21043771043771045</v>
      </c>
      <c r="M33" s="51">
        <f t="shared" si="4"/>
        <v>8.0549329821271831E-2</v>
      </c>
      <c r="N33" s="51">
        <f t="shared" si="5"/>
        <v>0.28427496629764093</v>
      </c>
      <c r="O33" s="51">
        <f t="shared" si="6"/>
        <v>0.302454585168068</v>
      </c>
      <c r="P33" s="51">
        <f t="shared" si="7"/>
        <v>2.2568266447504884E-2</v>
      </c>
      <c r="Q33" s="50">
        <f t="shared" si="8"/>
        <v>0.5790059327030781</v>
      </c>
      <c r="R33" s="19">
        <f t="shared" si="12"/>
        <v>0.2484589849564707</v>
      </c>
      <c r="S33" s="141">
        <f t="shared" si="2"/>
        <v>1.6257746478873238</v>
      </c>
      <c r="T33" s="19">
        <f t="shared" si="13"/>
        <v>0.13006197183098592</v>
      </c>
      <c r="U33" s="12">
        <f t="shared" si="16"/>
        <v>0.1751143661971831</v>
      </c>
      <c r="V33" s="53">
        <f t="shared" si="14"/>
        <v>1.3138832997987928</v>
      </c>
      <c r="W33" s="19">
        <f t="shared" si="9"/>
        <v>0.17395976323996304</v>
      </c>
      <c r="Z33" s="54">
        <f t="shared" si="10"/>
        <v>0.99826040236760039</v>
      </c>
      <c r="AA33">
        <f t="shared" si="11"/>
        <v>2.0413007269470134</v>
      </c>
    </row>
    <row r="34" spans="1:27" x14ac:dyDescent="0.25">
      <c r="A34" s="41">
        <v>22</v>
      </c>
      <c r="B34" s="42">
        <v>39506</v>
      </c>
      <c r="C34" s="43"/>
      <c r="D34" s="145">
        <v>70</v>
      </c>
      <c r="E34" s="41">
        <v>5</v>
      </c>
      <c r="F34" s="125">
        <f>+'[1]Con 5hE'!E35</f>
        <v>0.66800804828973825</v>
      </c>
      <c r="G34" s="47">
        <f t="shared" si="0"/>
        <v>3.3400402414486914</v>
      </c>
      <c r="H34" s="47">
        <f>+F34/G83</f>
        <v>8.8445359682236041E-4</v>
      </c>
      <c r="I34" s="48">
        <f>+G34/G83</f>
        <v>4.4222679841118022E-3</v>
      </c>
      <c r="J34" s="49">
        <f t="shared" si="1"/>
        <v>0.30955875888782614</v>
      </c>
      <c r="K34" s="45">
        <f t="shared" si="15"/>
        <v>0.88445359682236036</v>
      </c>
      <c r="L34" s="51">
        <f t="shared" si="3"/>
        <v>0.22662522662522663</v>
      </c>
      <c r="M34" s="51">
        <f t="shared" si="4"/>
        <v>0.27569461340888907</v>
      </c>
      <c r="N34" s="51">
        <f t="shared" si="5"/>
        <v>0.29397026941691567</v>
      </c>
      <c r="O34" s="51">
        <f t="shared" si="6"/>
        <v>0.31020746873354532</v>
      </c>
      <c r="P34" s="51">
        <f t="shared" si="7"/>
        <v>3.8447332063266372E-2</v>
      </c>
      <c r="Q34" s="50">
        <f t="shared" si="8"/>
        <v>0.62688885284841234</v>
      </c>
      <c r="R34" s="19">
        <f t="shared" si="12"/>
        <v>0.12333739381550521</v>
      </c>
      <c r="S34" s="141">
        <f t="shared" si="2"/>
        <v>5.5645070422535188</v>
      </c>
      <c r="T34" s="19">
        <f t="shared" si="13"/>
        <v>0.44516056338028148</v>
      </c>
      <c r="U34" s="12">
        <f t="shared" si="16"/>
        <v>0.62027492957746455</v>
      </c>
      <c r="V34" s="53">
        <f t="shared" si="14"/>
        <v>4.653923541247484</v>
      </c>
      <c r="W34" s="19">
        <f t="shared" si="9"/>
        <v>0.61618519505977709</v>
      </c>
      <c r="X34" s="68">
        <f>+((([1]Resumen!O8-F33)*(D34-D33))/(F34-F33))+D33</f>
        <v>65.940425531914897</v>
      </c>
      <c r="Y34" s="69" t="s">
        <v>73</v>
      </c>
      <c r="Z34" s="54">
        <f t="shared" si="10"/>
        <v>0.99383814804940218</v>
      </c>
      <c r="AA34">
        <f t="shared" si="11"/>
        <v>2.0037434614590293</v>
      </c>
    </row>
    <row r="35" spans="1:27" x14ac:dyDescent="0.25">
      <c r="A35" s="41">
        <v>23</v>
      </c>
      <c r="B35" s="42">
        <v>39506</v>
      </c>
      <c r="C35" s="43"/>
      <c r="D35" s="145">
        <v>75</v>
      </c>
      <c r="E35" s="41">
        <v>5</v>
      </c>
      <c r="F35" s="125">
        <f>+'[1]Con 5hE'!E36</f>
        <v>1.3319919517102616</v>
      </c>
      <c r="G35" s="47">
        <f t="shared" si="0"/>
        <v>6.6599597585513077</v>
      </c>
      <c r="H35" s="47">
        <f>+F35/G83</f>
        <v>1.763579159928924E-3</v>
      </c>
      <c r="I35" s="48">
        <f>+G35/G83</f>
        <v>8.8178957996446188E-3</v>
      </c>
      <c r="J35" s="49">
        <f t="shared" si="1"/>
        <v>0.6613421849733464</v>
      </c>
      <c r="K35" s="45">
        <f t="shared" si="15"/>
        <v>1.7635791599289239</v>
      </c>
      <c r="L35" s="51">
        <f t="shared" si="3"/>
        <v>0.24281274281274282</v>
      </c>
      <c r="M35" s="51">
        <f t="shared" si="4"/>
        <v>0.54972841589362842</v>
      </c>
      <c r="N35" s="51">
        <f t="shared" si="5"/>
        <v>0.30378512575347827</v>
      </c>
      <c r="O35" s="51">
        <f t="shared" si="6"/>
        <v>0.31799232256720877</v>
      </c>
      <c r="P35" s="51">
        <f t="shared" si="7"/>
        <v>6.0313310216858471E-2</v>
      </c>
      <c r="Q35" s="50">
        <f t="shared" si="8"/>
        <v>0.67302281112154727</v>
      </c>
      <c r="R35" s="19">
        <f t="shared" si="12"/>
        <v>1.5201507894618259E-2</v>
      </c>
      <c r="S35" s="141">
        <f t="shared" si="2"/>
        <v>11.095492957746478</v>
      </c>
      <c r="T35" s="19">
        <f t="shared" si="13"/>
        <v>0.88763943661971834</v>
      </c>
      <c r="U35" s="12">
        <f t="shared" si="16"/>
        <v>1.5079143661971828</v>
      </c>
      <c r="V35" s="53">
        <f t="shared" si="14"/>
        <v>11.313883299798793</v>
      </c>
      <c r="W35" s="19">
        <f t="shared" si="9"/>
        <v>1.4979720500739848</v>
      </c>
      <c r="Z35" s="54">
        <f t="shared" si="10"/>
        <v>0.98502027949926019</v>
      </c>
      <c r="AA35">
        <f t="shared" si="11"/>
        <v>1.9668772005703745</v>
      </c>
    </row>
    <row r="36" spans="1:27" x14ac:dyDescent="0.25">
      <c r="A36" s="41">
        <v>24</v>
      </c>
      <c r="B36" s="42">
        <v>39506</v>
      </c>
      <c r="C36" s="43"/>
      <c r="D36" s="145">
        <v>80</v>
      </c>
      <c r="E36" s="41">
        <v>5</v>
      </c>
      <c r="F36" s="72">
        <f>+'[1]Con 5hE'!E37</f>
        <v>1.9657947686116701</v>
      </c>
      <c r="G36" s="47">
        <f t="shared" si="0"/>
        <v>9.8289738430583498</v>
      </c>
      <c r="H36" s="47">
        <f>+F36/G83</f>
        <v>2.602744470167007E-3</v>
      </c>
      <c r="I36" s="48">
        <f>+G36/G83</f>
        <v>1.3013722350835035E-2</v>
      </c>
      <c r="J36" s="49">
        <f t="shared" si="1"/>
        <v>1.0410977880668029</v>
      </c>
      <c r="K36" s="45">
        <f t="shared" si="15"/>
        <v>2.6027444701670071</v>
      </c>
      <c r="L36" s="51">
        <f t="shared" si="3"/>
        <v>0.25900025900025903</v>
      </c>
      <c r="M36" s="51">
        <f t="shared" si="4"/>
        <v>0.81130613644724314</v>
      </c>
      <c r="N36" s="51">
        <f t="shared" si="5"/>
        <v>0.31370966753862595</v>
      </c>
      <c r="O36" s="51">
        <f t="shared" si="6"/>
        <v>0.32580168581991625</v>
      </c>
      <c r="P36" s="51">
        <f t="shared" si="7"/>
        <v>8.8521723640062042E-2</v>
      </c>
      <c r="Q36" s="50">
        <f t="shared" si="8"/>
        <v>0.71725664691435242</v>
      </c>
      <c r="R36" s="19">
        <f t="shared" si="12"/>
        <v>8.8453064813973203E-3</v>
      </c>
      <c r="S36" s="141">
        <f t="shared" si="2"/>
        <v>16.375070422535213</v>
      </c>
      <c r="T36" s="19">
        <f t="shared" si="13"/>
        <v>1.310005633802817</v>
      </c>
      <c r="U36" s="12">
        <f t="shared" si="16"/>
        <v>2.81792</v>
      </c>
      <c r="V36" s="53">
        <f t="shared" si="14"/>
        <v>21.142857142857142</v>
      </c>
      <c r="W36" s="19">
        <f t="shared" si="9"/>
        <v>2.7993402635919318</v>
      </c>
      <c r="X36" s="73">
        <f>+((([1]Resumen!N8-F35)*(D36-D35))/(F36-F35))+D35</f>
        <v>75.698412698412696</v>
      </c>
      <c r="Y36" s="74" t="s">
        <v>74</v>
      </c>
      <c r="Z36" s="54">
        <f t="shared" si="10"/>
        <v>0.97200659736408068</v>
      </c>
      <c r="AA36">
        <f t="shared" si="11"/>
        <v>1.9306892306995336</v>
      </c>
    </row>
    <row r="37" spans="1:27" x14ac:dyDescent="0.25">
      <c r="A37" s="41">
        <v>25</v>
      </c>
      <c r="B37" s="42">
        <v>39506</v>
      </c>
      <c r="C37" s="43"/>
      <c r="D37" s="145">
        <v>85</v>
      </c>
      <c r="E37" s="41">
        <v>5</v>
      </c>
      <c r="F37" s="72">
        <f>+'[1]Con 5hE'!E38</f>
        <v>2.3983903420523141</v>
      </c>
      <c r="G37" s="47">
        <f t="shared" si="0"/>
        <v>11.991951710261571</v>
      </c>
      <c r="H37" s="47">
        <f>+F37/G83</f>
        <v>3.1755080946152228E-3</v>
      </c>
      <c r="I37" s="48">
        <f>+G37/G83</f>
        <v>1.5877540473076115E-2</v>
      </c>
      <c r="J37" s="49">
        <f t="shared" si="1"/>
        <v>1.3495909402114699</v>
      </c>
      <c r="K37" s="45">
        <f t="shared" si="15"/>
        <v>3.175508094615223</v>
      </c>
      <c r="L37" s="51">
        <f t="shared" si="3"/>
        <v>0.27518777518777521</v>
      </c>
      <c r="M37" s="51">
        <f t="shared" si="4"/>
        <v>0.98984331079336108</v>
      </c>
      <c r="N37" s="51">
        <f t="shared" si="5"/>
        <v>0.32373346889421867</v>
      </c>
      <c r="O37" s="51">
        <f t="shared" si="6"/>
        <v>0.33362787342289923</v>
      </c>
      <c r="P37" s="51">
        <f t="shared" si="7"/>
        <v>0.12303767356175757</v>
      </c>
      <c r="Q37" s="50">
        <f t="shared" si="8"/>
        <v>0.75947332404973589</v>
      </c>
      <c r="R37" s="19">
        <f t="shared" si="12"/>
        <v>5.3070330792258043E-2</v>
      </c>
      <c r="S37" s="141">
        <f t="shared" si="2"/>
        <v>19.978591549295775</v>
      </c>
      <c r="T37" s="19">
        <f t="shared" si="13"/>
        <v>1.5982873239436621</v>
      </c>
      <c r="U37" s="12">
        <f t="shared" si="16"/>
        <v>4.4162073239436621</v>
      </c>
      <c r="V37" s="53">
        <f>+V36+G37</f>
        <v>33.134808853118713</v>
      </c>
      <c r="W37" s="19">
        <f t="shared" si="9"/>
        <v>4.3870894043425901</v>
      </c>
      <c r="Z37" s="54">
        <f t="shared" si="10"/>
        <v>0.95612910595657408</v>
      </c>
      <c r="AA37">
        <f t="shared" si="11"/>
        <v>1.8951670721782741</v>
      </c>
    </row>
    <row r="38" spans="1:27" x14ac:dyDescent="0.25">
      <c r="A38" s="41">
        <v>26</v>
      </c>
      <c r="B38" s="42">
        <v>39506</v>
      </c>
      <c r="C38" s="43"/>
      <c r="D38" s="145">
        <v>90</v>
      </c>
      <c r="E38" s="41">
        <v>5</v>
      </c>
      <c r="F38" s="72">
        <f>+'[1]Con 5hE'!E39</f>
        <v>2.6498993963782698</v>
      </c>
      <c r="G38" s="47">
        <f t="shared" si="0"/>
        <v>13.249496981891349</v>
      </c>
      <c r="H38" s="47">
        <f>+F38/G83</f>
        <v>3.5085102018525575E-3</v>
      </c>
      <c r="I38" s="48">
        <f>+G38/G83</f>
        <v>1.7542551009262788E-2</v>
      </c>
      <c r="J38" s="49">
        <f t="shared" si="1"/>
        <v>1.5788295908336509</v>
      </c>
      <c r="K38" s="45">
        <f t="shared" si="15"/>
        <v>3.5085102018525576</v>
      </c>
      <c r="L38" s="51">
        <f t="shared" si="3"/>
        <v>0.29137529137529139</v>
      </c>
      <c r="M38" s="51">
        <f t="shared" si="4"/>
        <v>1.093643993552732</v>
      </c>
      <c r="N38" s="51">
        <f t="shared" si="5"/>
        <v>0.33384555702986468</v>
      </c>
      <c r="O38" s="51">
        <f t="shared" si="6"/>
        <v>0.34146298688947024</v>
      </c>
      <c r="P38" s="51">
        <f t="shared" si="7"/>
        <v>0.16347548008787693</v>
      </c>
      <c r="Q38" s="50">
        <f t="shared" si="8"/>
        <v>0.79958506589582279</v>
      </c>
      <c r="R38" s="19">
        <f t="shared" si="12"/>
        <v>8.6470652934731371E-2</v>
      </c>
      <c r="S38" s="141">
        <f t="shared" si="2"/>
        <v>22.073661971830987</v>
      </c>
      <c r="T38" s="19">
        <f t="shared" si="13"/>
        <v>1.7658929577464788</v>
      </c>
      <c r="U38" s="12">
        <f t="shared" si="16"/>
        <v>6.1821002816901407</v>
      </c>
      <c r="V38" s="53">
        <f t="shared" si="14"/>
        <v>46.384305835010061</v>
      </c>
      <c r="W38" s="19">
        <f t="shared" si="9"/>
        <v>6.1413390841820332</v>
      </c>
      <c r="X38" s="19"/>
      <c r="Y38" s="66"/>
      <c r="Z38" s="54">
        <f t="shared" si="10"/>
        <v>0.93858660915817971</v>
      </c>
      <c r="AA38">
        <f t="shared" si="11"/>
        <v>1.8602984749479492</v>
      </c>
    </row>
    <row r="39" spans="1:27" x14ac:dyDescent="0.25">
      <c r="A39" s="41">
        <v>27</v>
      </c>
      <c r="B39" s="42">
        <v>39506</v>
      </c>
      <c r="C39" s="43"/>
      <c r="D39" s="145">
        <v>95</v>
      </c>
      <c r="E39" s="41">
        <v>5</v>
      </c>
      <c r="F39" s="72">
        <f>+'[1]Con 5hE'!E40</f>
        <v>2.7706237424547289</v>
      </c>
      <c r="G39" s="47">
        <f t="shared" si="0"/>
        <v>13.853118712273645</v>
      </c>
      <c r="H39" s="47">
        <f>+F39/G83</f>
        <v>3.6683512133264783E-3</v>
      </c>
      <c r="I39" s="48">
        <f>+G39/G83</f>
        <v>1.8341756066632391E-2</v>
      </c>
      <c r="J39" s="49">
        <f t="shared" si="1"/>
        <v>1.7424668263300771</v>
      </c>
      <c r="K39" s="45">
        <f t="shared" si="15"/>
        <v>3.6683512133264782</v>
      </c>
      <c r="L39" s="51">
        <f t="shared" si="3"/>
        <v>0.30756280756280757</v>
      </c>
      <c r="M39" s="51">
        <f t="shared" si="4"/>
        <v>1.1434683212772303</v>
      </c>
      <c r="N39" s="51">
        <f t="shared" si="5"/>
        <v>0.34403442573074511</v>
      </c>
      <c r="O39" s="51">
        <f t="shared" si="6"/>
        <v>0.34929892594499107</v>
      </c>
      <c r="P39" s="51">
        <f t="shared" si="7"/>
        <v>0.20916846764727218</v>
      </c>
      <c r="Q39" s="50">
        <f t="shared" si="8"/>
        <v>0.83752923143724278</v>
      </c>
      <c r="R39" s="19">
        <f t="shared" si="12"/>
        <v>9.3598726692119952E-2</v>
      </c>
      <c r="S39" s="141">
        <f t="shared" si="2"/>
        <v>23.079295774647889</v>
      </c>
      <c r="T39" s="19">
        <f t="shared" si="13"/>
        <v>1.8463436619718312</v>
      </c>
      <c r="U39" s="12">
        <f t="shared" si="16"/>
        <v>8.0284439436619728</v>
      </c>
      <c r="V39" s="53">
        <f t="shared" si="14"/>
        <v>60.237424547283709</v>
      </c>
      <c r="W39" s="19">
        <f t="shared" si="9"/>
        <v>7.9755090227840943</v>
      </c>
      <c r="X39" s="19"/>
      <c r="Y39" s="3"/>
      <c r="Z39" s="54">
        <f t="shared" si="10"/>
        <v>0.920244909772159</v>
      </c>
      <c r="AA39">
        <f t="shared" si="11"/>
        <v>1.8260714143349808</v>
      </c>
    </row>
    <row r="40" spans="1:27" x14ac:dyDescent="0.25">
      <c r="A40" s="41">
        <v>28</v>
      </c>
      <c r="B40" s="42">
        <v>39506</v>
      </c>
      <c r="C40" s="43"/>
      <c r="D40" s="146">
        <v>100</v>
      </c>
      <c r="E40" s="147">
        <v>5</v>
      </c>
      <c r="F40" s="78">
        <f>+'[1]Con 5hE'!E41</f>
        <v>2.8410462776659959</v>
      </c>
      <c r="G40" s="57">
        <f t="shared" si="0"/>
        <v>14.205231388329979</v>
      </c>
      <c r="H40" s="57">
        <f>+F40/G83</f>
        <v>3.7615918033529314E-3</v>
      </c>
      <c r="I40" s="102">
        <f>+G40/G83</f>
        <v>1.8807959016764655E-2</v>
      </c>
      <c r="J40" s="50">
        <f t="shared" si="1"/>
        <v>1.8807959016764655</v>
      </c>
      <c r="K40" s="58">
        <f t="shared" si="15"/>
        <v>3.7615918033529314</v>
      </c>
      <c r="L40" s="51">
        <f t="shared" si="3"/>
        <v>0.32375032375032375</v>
      </c>
      <c r="M40" s="51">
        <f t="shared" si="4"/>
        <v>1.1725325124498538</v>
      </c>
      <c r="N40" s="51">
        <f t="shared" si="5"/>
        <v>0.35428805115217216</v>
      </c>
      <c r="O40" s="51">
        <f t="shared" si="6"/>
        <v>0.35712740096799384</v>
      </c>
      <c r="P40" s="51">
        <f t="shared" si="7"/>
        <v>0.25925068231936538</v>
      </c>
      <c r="Q40" s="50">
        <f t="shared" si="8"/>
        <v>0.8732647912040985</v>
      </c>
      <c r="R40" s="19">
        <f t="shared" si="12"/>
        <v>8.9561168979627098E-2</v>
      </c>
      <c r="S40" s="141">
        <f t="shared" si="2"/>
        <v>23.665915492957744</v>
      </c>
      <c r="T40" s="19">
        <f t="shared" si="13"/>
        <v>1.8932732394366196</v>
      </c>
      <c r="U40" s="12">
        <f t="shared" si="16"/>
        <v>9.9217171830985933</v>
      </c>
      <c r="V40" s="53">
        <f t="shared" si="14"/>
        <v>74.442655935613686</v>
      </c>
      <c r="W40" s="19">
        <f t="shared" si="9"/>
        <v>9.8562991123310137</v>
      </c>
      <c r="X40" s="71" t="s">
        <v>76</v>
      </c>
      <c r="Z40" s="54">
        <f t="shared" si="10"/>
        <v>0.90143700887668987</v>
      </c>
      <c r="AA40">
        <f t="shared" si="11"/>
        <v>1.792474086904069</v>
      </c>
    </row>
    <row r="41" spans="1:27" x14ac:dyDescent="0.25">
      <c r="A41" s="41">
        <v>29</v>
      </c>
      <c r="B41" s="42">
        <v>39506</v>
      </c>
      <c r="C41" s="43"/>
      <c r="D41" s="145">
        <v>105</v>
      </c>
      <c r="E41" s="41">
        <v>5</v>
      </c>
      <c r="F41" s="78">
        <f>+'[1]Con 5hE'!E42</f>
        <v>2.7404426559356141</v>
      </c>
      <c r="G41" s="57">
        <f t="shared" si="0"/>
        <v>13.70221327967807</v>
      </c>
      <c r="H41" s="57">
        <f>+F41/G83</f>
        <v>3.6283909604579983E-3</v>
      </c>
      <c r="I41" s="102">
        <f>+G41/G83</f>
        <v>1.814195480228999E-2</v>
      </c>
      <c r="J41" s="50">
        <f t="shared" si="1"/>
        <v>1.904905254240449</v>
      </c>
      <c r="K41" s="58">
        <f t="shared" si="15"/>
        <v>3.6283909604579985</v>
      </c>
      <c r="L41" s="51">
        <f t="shared" si="3"/>
        <v>0.33993783993783994</v>
      </c>
      <c r="M41" s="51">
        <f t="shared" si="4"/>
        <v>1.1310122393461057</v>
      </c>
      <c r="N41" s="51">
        <f t="shared" si="5"/>
        <v>0.36459390992610358</v>
      </c>
      <c r="O41" s="51">
        <f t="shared" si="6"/>
        <v>0.36493994622192721</v>
      </c>
      <c r="P41" s="51">
        <f t="shared" si="7"/>
        <v>0.31273732326968778</v>
      </c>
      <c r="Q41" s="50">
        <f t="shared" si="8"/>
        <v>0.90676929576821086</v>
      </c>
      <c r="R41" s="19">
        <f t="shared" si="12"/>
        <v>5.0284897744478946E-2</v>
      </c>
      <c r="S41" s="141">
        <f t="shared" si="2"/>
        <v>22.827887323943663</v>
      </c>
      <c r="T41" s="19">
        <f t="shared" si="13"/>
        <v>1.8262309859154933</v>
      </c>
      <c r="U41" s="12">
        <f t="shared" si="16"/>
        <v>11.747948169014087</v>
      </c>
      <c r="V41" s="53">
        <f t="shared" si="14"/>
        <v>88.144869215291749</v>
      </c>
      <c r="W41" s="19">
        <f t="shared" si="9"/>
        <v>11.67048898624242</v>
      </c>
      <c r="X41" s="77">
        <f>+(((10-W40)*(D41-D40))/(W41-W40))+D40</f>
        <v>100.396046989721</v>
      </c>
      <c r="Y41" s="66" t="s">
        <v>117</v>
      </c>
      <c r="Z41" s="54">
        <f t="shared" si="10"/>
        <v>0.88329511013757578</v>
      </c>
      <c r="AA41">
        <f t="shared" si="11"/>
        <v>1.7594949063876963</v>
      </c>
    </row>
    <row r="42" spans="1:27" x14ac:dyDescent="0.25">
      <c r="A42" s="41">
        <v>30</v>
      </c>
      <c r="B42" s="42">
        <v>39506</v>
      </c>
      <c r="C42" s="43"/>
      <c r="D42" s="145">
        <v>110</v>
      </c>
      <c r="E42" s="41">
        <v>5</v>
      </c>
      <c r="F42" s="72">
        <f>+'[1]Con 5hE'!E43</f>
        <v>2.7605633802816905</v>
      </c>
      <c r="G42" s="47">
        <f t="shared" si="0"/>
        <v>13.802816901408452</v>
      </c>
      <c r="H42" s="47">
        <f>+F42/G83</f>
        <v>3.6550311290369846E-3</v>
      </c>
      <c r="I42" s="48">
        <f>+G42/G83</f>
        <v>1.8275155645184924E-2</v>
      </c>
      <c r="J42" s="49">
        <f t="shared" si="1"/>
        <v>2.0102671209703415</v>
      </c>
      <c r="K42" s="45">
        <f t="shared" si="15"/>
        <v>3.6550311290369848</v>
      </c>
      <c r="L42" s="51">
        <f t="shared" si="3"/>
        <v>0.35612535612535612</v>
      </c>
      <c r="M42" s="51">
        <f t="shared" si="4"/>
        <v>1.1393162939668553</v>
      </c>
      <c r="N42" s="51">
        <f t="shared" si="5"/>
        <v>0.37493899957359184</v>
      </c>
      <c r="O42" s="51">
        <f t="shared" si="6"/>
        <v>0.37272793385359143</v>
      </c>
      <c r="P42" s="51">
        <f t="shared" si="7"/>
        <v>0.36859580443342566</v>
      </c>
      <c r="Q42" s="50">
        <f t="shared" si="8"/>
        <v>0.93803625367053922</v>
      </c>
      <c r="R42" s="19">
        <f t="shared" si="12"/>
        <v>4.0513654621686622E-2</v>
      </c>
      <c r="S42" s="141">
        <f t="shared" si="2"/>
        <v>22.995492957746482</v>
      </c>
      <c r="T42" s="19">
        <f t="shared" si="13"/>
        <v>1.8396394366197186</v>
      </c>
      <c r="U42" s="12">
        <f t="shared" si="16"/>
        <v>13.587587605633805</v>
      </c>
      <c r="V42" s="53">
        <f t="shared" si="14"/>
        <v>101.9476861167002</v>
      </c>
      <c r="W42" s="19">
        <f t="shared" si="9"/>
        <v>13.497998903280928</v>
      </c>
      <c r="X42" s="19"/>
      <c r="Y42" s="71"/>
      <c r="Z42" s="54">
        <f t="shared" si="10"/>
        <v>0.86502001096719072</v>
      </c>
      <c r="AA42">
        <f t="shared" si="11"/>
        <v>1.7271224996905261</v>
      </c>
    </row>
    <row r="43" spans="1:27" x14ac:dyDescent="0.25">
      <c r="A43" s="41">
        <v>31</v>
      </c>
      <c r="B43" s="42">
        <v>39506</v>
      </c>
      <c r="C43" s="43"/>
      <c r="D43" s="145">
        <v>115</v>
      </c>
      <c r="E43" s="41">
        <v>5</v>
      </c>
      <c r="F43" s="72">
        <f>+'[1]Con 5hE'!E44</f>
        <v>2.7907444668008043</v>
      </c>
      <c r="G43" s="47">
        <f t="shared" si="0"/>
        <v>13.953722334004022</v>
      </c>
      <c r="H43" s="47">
        <f>+F43/G83</f>
        <v>3.6949913819054638E-3</v>
      </c>
      <c r="I43" s="48">
        <f>+G43/G83</f>
        <v>1.8474956909527319E-2</v>
      </c>
      <c r="J43" s="49">
        <f t="shared" si="1"/>
        <v>2.1246200445956416</v>
      </c>
      <c r="K43" s="45">
        <f t="shared" si="15"/>
        <v>3.6949913819054636</v>
      </c>
      <c r="L43" s="51">
        <f t="shared" si="3"/>
        <v>0.3723128723128723</v>
      </c>
      <c r="M43" s="51">
        <f t="shared" si="4"/>
        <v>1.1517723758979794</v>
      </c>
      <c r="N43" s="51">
        <f t="shared" si="5"/>
        <v>0.3853098612055888</v>
      </c>
      <c r="O43" s="51">
        <f t="shared" si="6"/>
        <v>0.38048258863094075</v>
      </c>
      <c r="P43" s="51">
        <f t="shared" si="7"/>
        <v>0.42580354558504285</v>
      </c>
      <c r="Q43" s="50">
        <f t="shared" si="8"/>
        <v>0.96707285327499726</v>
      </c>
      <c r="R43" s="19">
        <f t="shared" si="12"/>
        <v>3.4113913657157505E-2</v>
      </c>
      <c r="S43" s="141">
        <f t="shared" si="2"/>
        <v>23.246901408450697</v>
      </c>
      <c r="T43" s="19">
        <f t="shared" si="13"/>
        <v>1.8597521126760557</v>
      </c>
      <c r="U43" s="12">
        <f t="shared" si="16"/>
        <v>15.447339718309861</v>
      </c>
      <c r="V43" s="53">
        <f t="shared" si="14"/>
        <v>115.90140845070422</v>
      </c>
      <c r="W43" s="19">
        <f t="shared" si="9"/>
        <v>15.345488885010091</v>
      </c>
      <c r="X43" s="19"/>
      <c r="Y43" s="71"/>
      <c r="Z43" s="54">
        <f t="shared" si="10"/>
        <v>0.84654511114989905</v>
      </c>
      <c r="AA43">
        <f t="shared" si="11"/>
        <v>1.6953457029673105</v>
      </c>
    </row>
    <row r="44" spans="1:27" x14ac:dyDescent="0.25">
      <c r="A44" s="41">
        <v>32</v>
      </c>
      <c r="B44" s="42">
        <v>39506</v>
      </c>
      <c r="C44" s="43"/>
      <c r="D44" s="145">
        <v>120</v>
      </c>
      <c r="E44" s="41">
        <v>5</v>
      </c>
      <c r="F44" s="72">
        <f>+'[1]Con 5hE'!E45</f>
        <v>2.7002012072434609</v>
      </c>
      <c r="G44" s="47">
        <f t="shared" si="0"/>
        <v>13.501006036217305</v>
      </c>
      <c r="H44" s="47">
        <f>+F44/G83</f>
        <v>3.5751106233000243E-3</v>
      </c>
      <c r="I44" s="48">
        <f>+G44/G83</f>
        <v>1.7875553116500121E-2</v>
      </c>
      <c r="J44" s="49">
        <f t="shared" si="1"/>
        <v>2.1450663739800144</v>
      </c>
      <c r="K44" s="45">
        <f t="shared" si="15"/>
        <v>3.5751106233000245</v>
      </c>
      <c r="L44" s="51">
        <f t="shared" si="3"/>
        <v>0.38850038850038848</v>
      </c>
      <c r="M44" s="51">
        <f t="shared" si="4"/>
        <v>1.1144041301046061</v>
      </c>
      <c r="N44" s="51">
        <f t="shared" si="5"/>
        <v>0.39569260448273624</v>
      </c>
      <c r="O44" s="51">
        <f t="shared" si="6"/>
        <v>0.38819500338958307</v>
      </c>
      <c r="P44" s="51">
        <f t="shared" si="7"/>
        <v>0.4833915361181344</v>
      </c>
      <c r="Q44" s="50">
        <f t="shared" si="8"/>
        <v>0.99389797616425812</v>
      </c>
      <c r="R44" s="19">
        <f t="shared" si="12"/>
        <v>1.4521733137494856E-2</v>
      </c>
      <c r="S44" s="141">
        <f t="shared" si="2"/>
        <v>22.492676056338027</v>
      </c>
      <c r="T44" s="19">
        <f t="shared" si="13"/>
        <v>1.7994140845070423</v>
      </c>
      <c r="U44" s="12">
        <f t="shared" si="16"/>
        <v>17.246753802816905</v>
      </c>
      <c r="V44" s="53">
        <f t="shared" si="14"/>
        <v>129.40241448692154</v>
      </c>
      <c r="W44" s="19">
        <f t="shared" si="9"/>
        <v>17.133038672667293</v>
      </c>
      <c r="X44" s="19"/>
      <c r="Y44" s="71"/>
      <c r="Z44" s="54">
        <f t="shared" si="10"/>
        <v>0.82866961327332711</v>
      </c>
      <c r="AA44">
        <f t="shared" si="11"/>
        <v>1.664153557772964</v>
      </c>
    </row>
    <row r="45" spans="1:27" x14ac:dyDescent="0.25">
      <c r="A45" s="41">
        <v>33</v>
      </c>
      <c r="B45" s="42">
        <v>39506</v>
      </c>
      <c r="C45" s="43"/>
      <c r="D45" s="145">
        <v>130</v>
      </c>
      <c r="E45" s="41">
        <v>10</v>
      </c>
      <c r="F45" s="72">
        <f>+'[1]Con 5hE'!E46</f>
        <v>2.5694164989939638</v>
      </c>
      <c r="G45" s="47">
        <f t="shared" si="0"/>
        <v>25.694164989939637</v>
      </c>
      <c r="H45" s="47">
        <f>+F45/G83</f>
        <v>3.4019495275366103E-3</v>
      </c>
      <c r="I45" s="48">
        <f>+G45/G83</f>
        <v>3.4019495275366102E-2</v>
      </c>
      <c r="J45" s="49">
        <f t="shared" si="1"/>
        <v>4.4225343857975936</v>
      </c>
      <c r="K45" s="45">
        <f t="shared" si="15"/>
        <v>3.4019495275366105</v>
      </c>
      <c r="L45" s="51">
        <f t="shared" si="3"/>
        <v>0.4208754208754209</v>
      </c>
      <c r="M45" s="51">
        <f t="shared" si="4"/>
        <v>1.0604277750697333</v>
      </c>
      <c r="N45" s="51">
        <f t="shared" si="5"/>
        <v>0.41643618259223492</v>
      </c>
      <c r="O45" s="51">
        <f t="shared" si="6"/>
        <v>0.40345692189645127</v>
      </c>
      <c r="P45" s="51">
        <f t="shared" si="7"/>
        <v>0.59626971815310159</v>
      </c>
      <c r="Q45" s="50">
        <f t="shared" si="8"/>
        <v>1.0410375734342217</v>
      </c>
      <c r="R45" s="19">
        <f t="shared" si="12"/>
        <v>3.7597991946579823E-4</v>
      </c>
      <c r="S45" s="141">
        <f t="shared" si="2"/>
        <v>42.806478873239435</v>
      </c>
      <c r="T45" s="19">
        <f t="shared" si="13"/>
        <v>3.4245183098591552</v>
      </c>
      <c r="U45" s="12">
        <f t="shared" si="16"/>
        <v>20.671272112676061</v>
      </c>
      <c r="V45" s="53">
        <f t="shared" si="14"/>
        <v>155.09657947686117</v>
      </c>
      <c r="W45" s="19">
        <f t="shared" si="9"/>
        <v>20.534977687329359</v>
      </c>
      <c r="X45" s="19"/>
      <c r="Y45" s="71"/>
      <c r="Z45" s="54">
        <f t="shared" si="10"/>
        <v>0.79465022312670641</v>
      </c>
      <c r="AA45">
        <f t="shared" si="11"/>
        <v>1.6034803925863097</v>
      </c>
    </row>
    <row r="46" spans="1:27" x14ac:dyDescent="0.25">
      <c r="A46" s="41">
        <v>34</v>
      </c>
      <c r="B46" s="42">
        <v>39506</v>
      </c>
      <c r="C46" s="43"/>
      <c r="D46" s="145">
        <v>140</v>
      </c>
      <c r="E46" s="41">
        <v>10</v>
      </c>
      <c r="F46" s="72">
        <f>+'[1]Con 5hE'!E47</f>
        <v>2.4688128772635816</v>
      </c>
      <c r="G46" s="47">
        <f t="shared" si="0"/>
        <v>24.688128772635814</v>
      </c>
      <c r="H46" s="47">
        <f>+F46/G83</f>
        <v>3.2687486846416764E-3</v>
      </c>
      <c r="I46" s="48">
        <f>+G46/G83</f>
        <v>3.2687486846416758E-2</v>
      </c>
      <c r="J46" s="49">
        <f t="shared" si="1"/>
        <v>4.5762481584983465</v>
      </c>
      <c r="K46" s="45">
        <f t="shared" si="15"/>
        <v>3.2687486846416762</v>
      </c>
      <c r="L46" s="51">
        <f t="shared" si="3"/>
        <v>0.45325045325045327</v>
      </c>
      <c r="M46" s="51">
        <f t="shared" si="4"/>
        <v>1.018907501965985</v>
      </c>
      <c r="N46" s="51">
        <f t="shared" si="5"/>
        <v>0.43705106849163272</v>
      </c>
      <c r="O46" s="51">
        <f t="shared" si="6"/>
        <v>0.41844042163294398</v>
      </c>
      <c r="P46" s="51">
        <f t="shared" si="7"/>
        <v>0.70142594245687717</v>
      </c>
      <c r="Q46" s="50">
        <f t="shared" si="8"/>
        <v>1.0797790681262249</v>
      </c>
      <c r="R46" s="19">
        <f t="shared" si="12"/>
        <v>3.7053475668004658E-3</v>
      </c>
      <c r="S46" s="141">
        <f t="shared" si="2"/>
        <v>41.130422535211267</v>
      </c>
      <c r="T46" s="19">
        <f t="shared" si="13"/>
        <v>3.2904338028169016</v>
      </c>
      <c r="U46" s="12">
        <f t="shared" si="16"/>
        <v>23.961705915492963</v>
      </c>
      <c r="V46" s="53">
        <f t="shared" si="14"/>
        <v>179.78470824949699</v>
      </c>
      <c r="W46" s="19">
        <f t="shared" si="9"/>
        <v>23.803716270720393</v>
      </c>
      <c r="X46" s="19"/>
      <c r="Y46" s="3"/>
      <c r="Z46" s="54">
        <f t="shared" si="10"/>
        <v>0.76196283729279601</v>
      </c>
      <c r="AA46">
        <f t="shared" si="11"/>
        <v>1.5450193026955759</v>
      </c>
    </row>
    <row r="47" spans="1:27" x14ac:dyDescent="0.25">
      <c r="A47" s="41">
        <v>35</v>
      </c>
      <c r="B47" s="42">
        <v>39506</v>
      </c>
      <c r="C47" s="43"/>
      <c r="D47" s="145">
        <v>150</v>
      </c>
      <c r="E47" s="41">
        <v>10</v>
      </c>
      <c r="F47" s="72">
        <f>+'[1]Con 5hE'!E48</f>
        <v>2.3581488933601609</v>
      </c>
      <c r="G47" s="47">
        <f t="shared" si="0"/>
        <v>23.581488933601609</v>
      </c>
      <c r="H47" s="47">
        <f>+F47/G83</f>
        <v>3.1222277574572488E-3</v>
      </c>
      <c r="I47" s="48">
        <f>+G47/G83</f>
        <v>3.122227757457249E-2</v>
      </c>
      <c r="J47" s="49">
        <f t="shared" si="1"/>
        <v>4.6833416361858733</v>
      </c>
      <c r="K47" s="45">
        <f t="shared" si="15"/>
        <v>3.122227757457249</v>
      </c>
      <c r="L47" s="51">
        <f t="shared" si="3"/>
        <v>0.48562548562548563</v>
      </c>
      <c r="M47" s="51">
        <f t="shared" si="4"/>
        <v>0.97323520155186172</v>
      </c>
      <c r="N47" s="51">
        <f t="shared" si="5"/>
        <v>0.45741365173538706</v>
      </c>
      <c r="O47" s="51">
        <f t="shared" si="6"/>
        <v>0.43307121833745182</v>
      </c>
      <c r="P47" s="51">
        <f t="shared" si="7"/>
        <v>0.79483405018131603</v>
      </c>
      <c r="Q47" s="50">
        <f t="shared" si="8"/>
        <v>1.1105423049233669</v>
      </c>
      <c r="R47" s="19">
        <f t="shared" si="12"/>
        <v>1.8853240636273215E-2</v>
      </c>
      <c r="S47" s="141">
        <f t="shared" si="2"/>
        <v>39.286760563380277</v>
      </c>
      <c r="T47" s="19">
        <f t="shared" si="13"/>
        <v>3.1429408450704224</v>
      </c>
      <c r="U47" s="12">
        <f t="shared" si="16"/>
        <v>27.104646760563387</v>
      </c>
      <c r="V47" s="53">
        <f t="shared" si="14"/>
        <v>203.36619718309859</v>
      </c>
      <c r="W47" s="19">
        <f t="shared" si="9"/>
        <v>26.925934379713301</v>
      </c>
      <c r="X47" s="66"/>
      <c r="Z47" s="54">
        <f t="shared" si="10"/>
        <v>0.73074065620286699</v>
      </c>
      <c r="AA47">
        <f t="shared" si="11"/>
        <v>1.488689638325861</v>
      </c>
    </row>
    <row r="48" spans="1:27" x14ac:dyDescent="0.25">
      <c r="A48" s="41">
        <v>36</v>
      </c>
      <c r="B48" s="42">
        <v>39506</v>
      </c>
      <c r="C48" s="43"/>
      <c r="D48" s="145">
        <v>160</v>
      </c>
      <c r="E48" s="41">
        <v>10</v>
      </c>
      <c r="F48" s="72">
        <f>+'[1]Con 5hE'!E49</f>
        <v>2.3179074446680081</v>
      </c>
      <c r="G48" s="47">
        <f t="shared" si="0"/>
        <v>23.179074446680083</v>
      </c>
      <c r="H48" s="47">
        <f>+F48/G83</f>
        <v>3.0689474202992757E-3</v>
      </c>
      <c r="I48" s="48">
        <f>+G48/G83</f>
        <v>3.0689474202992759E-2</v>
      </c>
      <c r="J48" s="49">
        <f t="shared" si="1"/>
        <v>4.9103158724788418</v>
      </c>
      <c r="K48" s="45">
        <f t="shared" si="15"/>
        <v>3.0689474202992755</v>
      </c>
      <c r="L48" s="51">
        <f t="shared" si="3"/>
        <v>0.51800051800051805</v>
      </c>
      <c r="M48" s="51">
        <f t="shared" si="4"/>
        <v>0.95662709231036236</v>
      </c>
      <c r="N48" s="51">
        <f t="shared" si="5"/>
        <v>0.47739653698056761</v>
      </c>
      <c r="O48" s="51">
        <f t="shared" si="6"/>
        <v>0.44727460713234146</v>
      </c>
      <c r="P48" s="51">
        <f t="shared" si="7"/>
        <v>0.87411152883357801</v>
      </c>
      <c r="Q48" s="50">
        <f t="shared" si="8"/>
        <v>1.1338115338894033</v>
      </c>
      <c r="R48" s="19">
        <f t="shared" si="12"/>
        <v>3.1394326337676554E-2</v>
      </c>
      <c r="S48" s="141">
        <f t="shared" si="2"/>
        <v>38.616338028169011</v>
      </c>
      <c r="T48" s="19">
        <f t="shared" si="13"/>
        <v>3.0893070422535209</v>
      </c>
      <c r="U48" s="12">
        <f t="shared" si="16"/>
        <v>30.193953802816907</v>
      </c>
      <c r="V48" s="53">
        <f t="shared" si="14"/>
        <v>226.54527162977868</v>
      </c>
      <c r="W48" s="19">
        <f t="shared" si="9"/>
        <v>29.994872316197789</v>
      </c>
      <c r="X48" s="19"/>
      <c r="Y48" s="66"/>
      <c r="Z48" s="54">
        <f t="shared" si="10"/>
        <v>0.70005127683802204</v>
      </c>
      <c r="AA48">
        <f t="shared" si="11"/>
        <v>1.4344136901022611</v>
      </c>
    </row>
    <row r="49" spans="1:27" x14ac:dyDescent="0.25">
      <c r="A49" s="41">
        <v>37</v>
      </c>
      <c r="B49" s="42">
        <v>39506</v>
      </c>
      <c r="C49" s="43"/>
      <c r="D49" s="145">
        <v>170</v>
      </c>
      <c r="E49" s="41">
        <v>10</v>
      </c>
      <c r="F49" s="72">
        <f>+'[1]Con 5hE'!E50</f>
        <v>2.1770623742454727</v>
      </c>
      <c r="G49" s="47">
        <f t="shared" si="0"/>
        <v>21.770623742454728</v>
      </c>
      <c r="H49" s="47">
        <f>+F49/G83</f>
        <v>2.8824662402463677E-3</v>
      </c>
      <c r="I49" s="48">
        <f>+G49/G83</f>
        <v>2.8824662402463681E-2</v>
      </c>
      <c r="J49" s="49">
        <f t="shared" si="1"/>
        <v>4.9001926084188261</v>
      </c>
      <c r="K49" s="45">
        <f t="shared" si="15"/>
        <v>2.8824662402463677</v>
      </c>
      <c r="L49" s="51">
        <f t="shared" si="3"/>
        <v>0.55037555037555042</v>
      </c>
      <c r="M49" s="51">
        <f t="shared" si="4"/>
        <v>0.89849870996511461</v>
      </c>
      <c r="N49" s="51">
        <f t="shared" si="5"/>
        <v>0.49686981349985787</v>
      </c>
      <c r="O49" s="51">
        <f t="shared" si="6"/>
        <v>0.46097608437281623</v>
      </c>
      <c r="P49" s="51">
        <f t="shared" si="7"/>
        <v>0.93822682893237064</v>
      </c>
      <c r="Q49" s="50">
        <f t="shared" si="8"/>
        <v>1.1501110584739025</v>
      </c>
      <c r="R49" s="19">
        <f t="shared" si="12"/>
        <v>6.3308773922107736E-2</v>
      </c>
      <c r="S49" s="141">
        <f t="shared" si="2"/>
        <v>36.269859154929577</v>
      </c>
      <c r="T49" s="19">
        <f t="shared" si="13"/>
        <v>2.9015887323943659</v>
      </c>
      <c r="U49" s="12">
        <f t="shared" si="16"/>
        <v>33.095542535211273</v>
      </c>
      <c r="V49" s="53">
        <f t="shared" si="14"/>
        <v>248.3158953722334</v>
      </c>
      <c r="W49" s="19">
        <f t="shared" si="9"/>
        <v>32.877329648902851</v>
      </c>
      <c r="Y49" s="66"/>
      <c r="Z49" s="54">
        <f t="shared" si="10"/>
        <v>0.67122670351097147</v>
      </c>
      <c r="AA49">
        <f t="shared" si="11"/>
        <v>1.3821165818461936</v>
      </c>
    </row>
    <row r="50" spans="1:27" x14ac:dyDescent="0.25">
      <c r="A50" s="41">
        <v>38</v>
      </c>
      <c r="B50" s="42">
        <v>39506</v>
      </c>
      <c r="C50" s="43"/>
      <c r="D50" s="145">
        <v>180</v>
      </c>
      <c r="E50" s="41">
        <v>10</v>
      </c>
      <c r="F50" s="72">
        <f>+'[1]Con 5hE'!E51</f>
        <v>2.1368209255533199</v>
      </c>
      <c r="G50" s="47">
        <f t="shared" si="0"/>
        <v>21.368209255533198</v>
      </c>
      <c r="H50" s="47">
        <f>+F50/G83</f>
        <v>2.8291859030883946E-3</v>
      </c>
      <c r="I50" s="48">
        <f>+G50/G83</f>
        <v>2.8291859030883944E-2</v>
      </c>
      <c r="J50" s="49">
        <f t="shared" si="1"/>
        <v>5.09253462555911</v>
      </c>
      <c r="K50" s="45">
        <f t="shared" si="15"/>
        <v>2.8291859030883946</v>
      </c>
      <c r="L50" s="51">
        <f t="shared" si="3"/>
        <v>0.58275058275058278</v>
      </c>
      <c r="M50" s="51">
        <f t="shared" si="4"/>
        <v>0.88189060072361536</v>
      </c>
      <c r="N50" s="51">
        <f t="shared" si="5"/>
        <v>0.51570241756899193</v>
      </c>
      <c r="O50" s="51">
        <f t="shared" si="6"/>
        <v>0.47410198840411283</v>
      </c>
      <c r="P50" s="51">
        <f t="shared" si="7"/>
        <v>0.98716782981243956</v>
      </c>
      <c r="Q50" s="50">
        <f t="shared" si="8"/>
        <v>1.159986393996721</v>
      </c>
      <c r="R50" s="19">
        <f t="shared" si="12"/>
        <v>7.7337270236197908E-2</v>
      </c>
      <c r="S50" s="141">
        <f t="shared" si="2"/>
        <v>35.599436619718304</v>
      </c>
      <c r="T50" s="19">
        <f t="shared" si="13"/>
        <v>2.8479549295774644</v>
      </c>
      <c r="U50" s="12">
        <f t="shared" si="16"/>
        <v>35.943497464788734</v>
      </c>
      <c r="V50" s="53">
        <f t="shared" si="14"/>
        <v>269.6841046277666</v>
      </c>
      <c r="W50" s="19">
        <f t="shared" si="9"/>
        <v>35.706506809099487</v>
      </c>
      <c r="X50" s="19"/>
      <c r="Y50" s="66"/>
      <c r="Z50" s="54">
        <f t="shared" si="10"/>
        <v>0.64293493190900519</v>
      </c>
      <c r="AA50">
        <f t="shared" si="11"/>
        <v>1.3317261672802509</v>
      </c>
    </row>
    <row r="51" spans="1:27" x14ac:dyDescent="0.25">
      <c r="A51" s="41">
        <v>39</v>
      </c>
      <c r="B51" s="42">
        <v>39506</v>
      </c>
      <c r="D51" s="145">
        <v>190</v>
      </c>
      <c r="E51" s="41">
        <v>10</v>
      </c>
      <c r="F51" s="72">
        <f>+'[1]Con 5hE'!E52</f>
        <v>2.0060362173038229</v>
      </c>
      <c r="G51" s="47">
        <f t="shared" si="0"/>
        <v>20.060362173038229</v>
      </c>
      <c r="H51" s="47">
        <f>+F51/G83</f>
        <v>2.6560248073249806E-3</v>
      </c>
      <c r="I51" s="48">
        <f>+G51/G83</f>
        <v>2.6560248073249804E-2</v>
      </c>
      <c r="J51" s="49">
        <f t="shared" si="1"/>
        <v>5.0464471339174626</v>
      </c>
      <c r="K51" s="45">
        <f t="shared" si="15"/>
        <v>2.6560248073249806</v>
      </c>
      <c r="L51" s="51">
        <f t="shared" si="3"/>
        <v>0.61512561512561514</v>
      </c>
      <c r="M51" s="51">
        <f t="shared" si="4"/>
        <v>0.82791424568874239</v>
      </c>
      <c r="N51" s="51">
        <f t="shared" si="5"/>
        <v>0.53376356864364649</v>
      </c>
      <c r="O51" s="51">
        <f t="shared" si="6"/>
        <v>0.48658015167124308</v>
      </c>
      <c r="P51" s="51">
        <f t="shared" si="7"/>
        <v>1.0216344934241792</v>
      </c>
      <c r="Q51" s="50">
        <f t="shared" si="8"/>
        <v>1.1639897633340215</v>
      </c>
      <c r="R51" s="19">
        <f t="shared" si="12"/>
        <v>0.1129467535605423</v>
      </c>
      <c r="S51" s="141">
        <f t="shared" si="2"/>
        <v>33.420563380281692</v>
      </c>
      <c r="T51" s="19">
        <f t="shared" si="13"/>
        <v>2.6736450704225354</v>
      </c>
      <c r="U51" s="12">
        <f t="shared" si="16"/>
        <v>38.617142535211272</v>
      </c>
      <c r="V51" s="53">
        <f t="shared" si="14"/>
        <v>289.74446680080484</v>
      </c>
      <c r="W51" s="19">
        <f t="shared" si="9"/>
        <v>38.362523408643796</v>
      </c>
      <c r="X51" s="19"/>
      <c r="Z51" s="54">
        <f t="shared" si="10"/>
        <v>0.61637476591356211</v>
      </c>
      <c r="AA51">
        <f t="shared" si="11"/>
        <v>1.2831729304990769</v>
      </c>
    </row>
    <row r="52" spans="1:27" x14ac:dyDescent="0.25">
      <c r="A52" s="41">
        <v>40</v>
      </c>
      <c r="B52" s="42">
        <v>39506</v>
      </c>
      <c r="D52" s="145">
        <v>200</v>
      </c>
      <c r="E52" s="41">
        <v>10</v>
      </c>
      <c r="F52" s="72">
        <f>+'[1]Con 5hE'!E53</f>
        <v>2.0261569416498992</v>
      </c>
      <c r="G52" s="47">
        <f t="shared" si="0"/>
        <v>20.261569416498993</v>
      </c>
      <c r="H52" s="47">
        <f>+F52/G83</f>
        <v>2.682664975903967E-3</v>
      </c>
      <c r="I52" s="48">
        <f>+G52/G83</f>
        <v>2.6826649759039672E-2</v>
      </c>
      <c r="J52" s="49">
        <f t="shared" si="1"/>
        <v>5.3653299518079347</v>
      </c>
      <c r="K52" s="45">
        <f t="shared" si="15"/>
        <v>2.6826649759039669</v>
      </c>
      <c r="L52" s="51">
        <f t="shared" si="3"/>
        <v>0.64750064750064751</v>
      </c>
      <c r="M52" s="51">
        <f t="shared" si="4"/>
        <v>0.83621830030949207</v>
      </c>
      <c r="N52" s="51">
        <f t="shared" si="5"/>
        <v>0.55092425797576905</v>
      </c>
      <c r="O52" s="51">
        <f t="shared" si="6"/>
        <v>0.49834055621732387</v>
      </c>
      <c r="P52" s="51">
        <f t="shared" si="7"/>
        <v>1.042782362607962</v>
      </c>
      <c r="Q52" s="50">
        <f t="shared" si="8"/>
        <v>1.1626690282678449</v>
      </c>
      <c r="R52" s="19">
        <f t="shared" si="12"/>
        <v>0.10657007778453849</v>
      </c>
      <c r="S52" s="141">
        <f t="shared" si="2"/>
        <v>33.755774647887321</v>
      </c>
      <c r="T52" s="19">
        <f t="shared" si="13"/>
        <v>2.7004619718309857</v>
      </c>
      <c r="U52" s="12">
        <f t="shared" si="16"/>
        <v>41.317604507042255</v>
      </c>
      <c r="V52" s="53">
        <f t="shared" si="14"/>
        <v>310.00603621730386</v>
      </c>
      <c r="W52" s="19">
        <f t="shared" si="9"/>
        <v>41.045180094442308</v>
      </c>
      <c r="X52" s="19"/>
      <c r="Z52" s="54">
        <f t="shared" si="10"/>
        <v>0.58954819905557687</v>
      </c>
      <c r="AA52">
        <f t="shared" si="11"/>
        <v>1.2363898900689612</v>
      </c>
    </row>
    <row r="53" spans="1:27" x14ac:dyDescent="0.25">
      <c r="A53" s="41">
        <v>41</v>
      </c>
      <c r="B53" s="42">
        <v>39506</v>
      </c>
      <c r="D53" s="145">
        <v>210</v>
      </c>
      <c r="E53" s="41">
        <v>10</v>
      </c>
      <c r="F53" s="72">
        <f>+'[1]Con 5hE'!E54</f>
        <v>1.9054325955734408</v>
      </c>
      <c r="G53" s="47">
        <f t="shared" si="0"/>
        <v>19.054325955734409</v>
      </c>
      <c r="H53" s="47">
        <f>+F53/G83</f>
        <v>2.5228239644300471E-3</v>
      </c>
      <c r="I53" s="48">
        <f>+G53/G83</f>
        <v>2.522823964430047E-2</v>
      </c>
      <c r="J53" s="49">
        <f t="shared" si="1"/>
        <v>5.2979303253030992</v>
      </c>
      <c r="K53" s="45">
        <f t="shared" si="15"/>
        <v>2.5228239644300472</v>
      </c>
      <c r="L53" s="51">
        <f t="shared" si="3"/>
        <v>0.67987567987567987</v>
      </c>
      <c r="M53" s="51">
        <f t="shared" si="4"/>
        <v>0.78639397258499411</v>
      </c>
      <c r="N53" s="51">
        <f t="shared" si="5"/>
        <v>0.56705876644436826</v>
      </c>
      <c r="O53" s="51">
        <f t="shared" si="6"/>
        <v>0.50931598432112857</v>
      </c>
      <c r="P53" s="51">
        <f t="shared" si="7"/>
        <v>1.0520228790705626</v>
      </c>
      <c r="Q53" s="50">
        <f t="shared" si="8"/>
        <v>1.1565593538408003</v>
      </c>
      <c r="R53" s="19">
        <f t="shared" si="12"/>
        <v>0.13702240948025637</v>
      </c>
      <c r="S53" s="141">
        <f t="shared" si="2"/>
        <v>31.74450704225352</v>
      </c>
      <c r="T53" s="19">
        <f t="shared" si="13"/>
        <v>2.5395605633802818</v>
      </c>
      <c r="U53" s="12">
        <f t="shared" si="16"/>
        <v>43.857165070422539</v>
      </c>
      <c r="V53" s="53">
        <f t="shared" si="14"/>
        <v>329.06036217303824</v>
      </c>
      <c r="W53" s="19">
        <f t="shared" si="9"/>
        <v>43.567996262715582</v>
      </c>
      <c r="Z53" s="54">
        <f t="shared" si="10"/>
        <v>0.5643200373728442</v>
      </c>
      <c r="AA53">
        <f t="shared" si="11"/>
        <v>1.1913125066238588</v>
      </c>
    </row>
    <row r="54" spans="1:27" x14ac:dyDescent="0.25">
      <c r="A54" s="41">
        <v>42</v>
      </c>
      <c r="B54" s="42">
        <v>39506</v>
      </c>
      <c r="D54" s="145">
        <v>220</v>
      </c>
      <c r="E54" s="41">
        <v>10</v>
      </c>
      <c r="F54" s="72">
        <f>+'[1]Con 5hE'!E55</f>
        <v>1.8953722334004024</v>
      </c>
      <c r="G54" s="47">
        <f t="shared" si="0"/>
        <v>18.953722334004024</v>
      </c>
      <c r="H54" s="47">
        <f>+F54/G83</f>
        <v>2.5095038801405535E-3</v>
      </c>
      <c r="I54" s="48">
        <f>+G54/G83</f>
        <v>2.5095038801405532E-2</v>
      </c>
      <c r="J54" s="49">
        <f t="shared" si="1"/>
        <v>5.520908536309217</v>
      </c>
      <c r="K54" s="45">
        <f t="shared" si="15"/>
        <v>2.5095038801405534</v>
      </c>
      <c r="L54" s="51">
        <f t="shared" si="3"/>
        <v>0.71225071225071224</v>
      </c>
      <c r="M54" s="51">
        <f t="shared" si="4"/>
        <v>0.78224194527461921</v>
      </c>
      <c r="N54" s="51">
        <f t="shared" si="5"/>
        <v>0.58204618695383759</v>
      </c>
      <c r="O54" s="51">
        <f t="shared" si="6"/>
        <v>0.51944265587090754</v>
      </c>
      <c r="P54" s="51">
        <f t="shared" si="7"/>
        <v>1.0508762100108273</v>
      </c>
      <c r="Q54" s="50">
        <f t="shared" si="8"/>
        <v>1.1461770517856025</v>
      </c>
      <c r="R54" s="19">
        <f t="shared" si="12"/>
        <v>0.13244876175116074</v>
      </c>
      <c r="S54" s="141">
        <f t="shared" si="2"/>
        <v>31.576901408450702</v>
      </c>
      <c r="T54" s="19">
        <f t="shared" si="13"/>
        <v>2.5261521126760562</v>
      </c>
      <c r="U54" s="12">
        <f t="shared" si="16"/>
        <v>46.383317183098598</v>
      </c>
      <c r="V54" s="53">
        <f t="shared" si="14"/>
        <v>348.01408450704224</v>
      </c>
      <c r="W54" s="19">
        <f t="shared" si="9"/>
        <v>46.077492387861753</v>
      </c>
      <c r="Z54" s="54">
        <f t="shared" si="10"/>
        <v>0.53922507612138249</v>
      </c>
      <c r="AA54">
        <f t="shared" si="11"/>
        <v>1.1478785938303515</v>
      </c>
    </row>
    <row r="55" spans="1:27" x14ac:dyDescent="0.25">
      <c r="A55" s="41">
        <v>43</v>
      </c>
      <c r="B55" s="42">
        <v>39506</v>
      </c>
      <c r="D55" s="145">
        <v>230</v>
      </c>
      <c r="E55" s="41">
        <v>10</v>
      </c>
      <c r="F55" s="72">
        <f>+'[1]Con 5hE'!E56</f>
        <v>1.8551307847082494</v>
      </c>
      <c r="G55" s="47">
        <f t="shared" si="0"/>
        <v>18.551307847082494</v>
      </c>
      <c r="H55" s="47">
        <f>+F55/G83</f>
        <v>2.4562235429825799E-3</v>
      </c>
      <c r="I55" s="48">
        <f>+G55/G83</f>
        <v>2.4562235429825798E-2</v>
      </c>
      <c r="J55" s="49">
        <f t="shared" si="1"/>
        <v>5.6493141488599337</v>
      </c>
      <c r="K55" s="45">
        <f t="shared" si="15"/>
        <v>2.4562235429825798</v>
      </c>
      <c r="L55" s="51">
        <f t="shared" si="3"/>
        <v>0.7446257446257446</v>
      </c>
      <c r="M55" s="51">
        <f t="shared" si="4"/>
        <v>0.76563383603311985</v>
      </c>
      <c r="N55" s="51">
        <f t="shared" si="5"/>
        <v>0.59577192583645755</v>
      </c>
      <c r="O55" s="51">
        <f t="shared" si="6"/>
        <v>0.52866084405630442</v>
      </c>
      <c r="P55" s="51">
        <f t="shared" si="7"/>
        <v>1.0408681410874963</v>
      </c>
      <c r="Q55" s="50">
        <f t="shared" si="8"/>
        <v>1.1320151623648924</v>
      </c>
      <c r="R55" s="19">
        <f t="shared" si="12"/>
        <v>0.13423527628462881</v>
      </c>
      <c r="S55" s="141">
        <f t="shared" si="2"/>
        <v>30.906478873239433</v>
      </c>
      <c r="T55" s="19">
        <f t="shared" si="13"/>
        <v>2.4725183098591548</v>
      </c>
      <c r="U55" s="12">
        <f t="shared" si="16"/>
        <v>48.855835492957752</v>
      </c>
      <c r="V55" s="53">
        <f t="shared" si="14"/>
        <v>366.56539235412475</v>
      </c>
      <c r="W55" s="19">
        <f t="shared" si="9"/>
        <v>48.533708340499523</v>
      </c>
      <c r="Z55" s="54">
        <f t="shared" si="10"/>
        <v>0.51466291659500474</v>
      </c>
      <c r="AA55">
        <f t="shared" si="11"/>
        <v>1.1060282325987261</v>
      </c>
    </row>
    <row r="56" spans="1:27" x14ac:dyDescent="0.25">
      <c r="A56" s="41">
        <v>44</v>
      </c>
      <c r="B56" s="42">
        <v>39506</v>
      </c>
      <c r="D56" s="148">
        <v>240</v>
      </c>
      <c r="E56" s="41">
        <v>10</v>
      </c>
      <c r="F56" s="72">
        <f>+'[1]Con 5hE'!E57</f>
        <v>1.7344064386317908</v>
      </c>
      <c r="G56" s="47">
        <f t="shared" si="0"/>
        <v>17.344064386317907</v>
      </c>
      <c r="H56" s="47">
        <f>+F56/G83</f>
        <v>2.2963825315086592E-3</v>
      </c>
      <c r="I56" s="48">
        <f>+G56/G83</f>
        <v>2.2963825315086592E-2</v>
      </c>
      <c r="J56" s="49">
        <f t="shared" si="1"/>
        <v>5.5113180756207818</v>
      </c>
      <c r="K56" s="45">
        <f t="shared" si="15"/>
        <v>2.2963825315086592</v>
      </c>
      <c r="L56" s="51">
        <f t="shared" si="3"/>
        <v>0.77700077700077697</v>
      </c>
      <c r="M56" s="51">
        <f t="shared" si="4"/>
        <v>0.71580950830862189</v>
      </c>
      <c r="N56" s="51">
        <f t="shared" si="5"/>
        <v>0.60812915732496542</v>
      </c>
      <c r="O56" s="51">
        <f t="shared" si="6"/>
        <v>0.53691546108710841</v>
      </c>
      <c r="P56" s="51">
        <f t="shared" si="7"/>
        <v>1.0234617695656185</v>
      </c>
      <c r="Q56" s="50">
        <f t="shared" si="8"/>
        <v>1.1145404215489665</v>
      </c>
      <c r="R56" s="19">
        <f t="shared" si="12"/>
        <v>0.15898634117347921</v>
      </c>
      <c r="S56" s="141">
        <f t="shared" si="2"/>
        <v>28.895211267605632</v>
      </c>
      <c r="T56" s="19">
        <f t="shared" si="13"/>
        <v>2.3116169014084509</v>
      </c>
      <c r="U56" s="12">
        <f t="shared" si="16"/>
        <v>51.167452394366201</v>
      </c>
      <c r="V56" s="53">
        <f t="shared" si="14"/>
        <v>383.90945674044264</v>
      </c>
      <c r="W56" s="19">
        <f t="shared" si="9"/>
        <v>50.830083775612046</v>
      </c>
      <c r="X56" s="77">
        <f>+(((50-W55)*(D56-D55))/(W56-W55))+D55</f>
        <v>236.38524361948956</v>
      </c>
      <c r="Y56" s="66" t="s">
        <v>77</v>
      </c>
      <c r="Z56" s="54">
        <f t="shared" si="10"/>
        <v>0.49169916224387955</v>
      </c>
      <c r="AA56">
        <f t="shared" si="11"/>
        <v>1.0657036884218234</v>
      </c>
    </row>
    <row r="57" spans="1:27" x14ac:dyDescent="0.25">
      <c r="A57" s="41">
        <v>45</v>
      </c>
      <c r="B57" s="42">
        <v>39506</v>
      </c>
      <c r="D57" s="145">
        <v>255</v>
      </c>
      <c r="E57" s="32">
        <f>+D57-D56</f>
        <v>15</v>
      </c>
      <c r="F57" s="72">
        <f>+'[1]Con 5hE'!E58</f>
        <v>1.6338028169014085</v>
      </c>
      <c r="G57" s="47">
        <f t="shared" si="0"/>
        <v>24.507042253521128</v>
      </c>
      <c r="H57" s="47">
        <f>+F57/G83</f>
        <v>2.1631816886137256E-3</v>
      </c>
      <c r="I57" s="48">
        <f>+G57/G83</f>
        <v>3.2447725329205881E-2</v>
      </c>
      <c r="J57" s="49">
        <f t="shared" si="1"/>
        <v>8.2741699589474997</v>
      </c>
      <c r="K57" s="45">
        <f t="shared" si="15"/>
        <v>2.1631816886137258</v>
      </c>
      <c r="L57" s="51">
        <f t="shared" si="3"/>
        <v>0.82556332556332557</v>
      </c>
      <c r="M57" s="51">
        <f t="shared" si="4"/>
        <v>0.67428923520487349</v>
      </c>
      <c r="N57" s="51">
        <f t="shared" si="5"/>
        <v>0.62388820711240978</v>
      </c>
      <c r="O57" s="51">
        <f t="shared" si="6"/>
        <v>0.54738307505055406</v>
      </c>
      <c r="P57" s="51">
        <f t="shared" si="7"/>
        <v>0.98641731464658899</v>
      </c>
      <c r="Q57" s="50">
        <f t="shared" si="8"/>
        <v>1.0830679354100872</v>
      </c>
      <c r="R57" s="19">
        <f t="shared" si="12"/>
        <v>0.16710002574146396</v>
      </c>
      <c r="S57" s="141">
        <f t="shared" si="2"/>
        <v>40.828732394366192</v>
      </c>
      <c r="T57" s="19">
        <f t="shared" si="13"/>
        <v>3.2662985915492952</v>
      </c>
      <c r="U57" s="12">
        <f t="shared" si="16"/>
        <v>54.433750985915495</v>
      </c>
      <c r="V57" s="53">
        <f t="shared" si="14"/>
        <v>408.41649899396378</v>
      </c>
      <c r="W57" s="19">
        <f t="shared" si="9"/>
        <v>54.074846281374299</v>
      </c>
      <c r="X57" s="19"/>
      <c r="Z57" s="54">
        <f t="shared" si="10"/>
        <v>0.459251537186257</v>
      </c>
      <c r="AA57">
        <f t="shared" si="11"/>
        <v>1.0079566460695206</v>
      </c>
    </row>
    <row r="58" spans="1:27" x14ac:dyDescent="0.25">
      <c r="A58" s="41">
        <v>46</v>
      </c>
      <c r="B58" s="42">
        <v>39506</v>
      </c>
      <c r="D58" s="145">
        <v>270</v>
      </c>
      <c r="E58" s="32">
        <f t="shared" ref="E58:E80" si="17">+D58-D57</f>
        <v>15</v>
      </c>
      <c r="F58" s="72">
        <f>+'[1]Con 5hE'!E59</f>
        <v>1.5432595573440644</v>
      </c>
      <c r="G58" s="47">
        <f t="shared" si="0"/>
        <v>23.148893360160965</v>
      </c>
      <c r="H58" s="47">
        <f>+F58/G83</f>
        <v>2.0433009300082849E-3</v>
      </c>
      <c r="I58" s="48">
        <f>+G58/G83</f>
        <v>3.0649513950124274E-2</v>
      </c>
      <c r="J58" s="49">
        <f t="shared" si="1"/>
        <v>8.2753687665335534</v>
      </c>
      <c r="K58" s="45">
        <f t="shared" si="15"/>
        <v>2.0433009300082849</v>
      </c>
      <c r="L58" s="51">
        <f t="shared" si="3"/>
        <v>0.87412587412587417</v>
      </c>
      <c r="M58" s="51">
        <f t="shared" si="4"/>
        <v>0.63692098941149999</v>
      </c>
      <c r="N58" s="51">
        <f t="shared" si="5"/>
        <v>0.63606637938386767</v>
      </c>
      <c r="O58" s="51">
        <f t="shared" si="6"/>
        <v>0.55542776856162634</v>
      </c>
      <c r="P58" s="51">
        <f t="shared" si="7"/>
        <v>0.93978936178581229</v>
      </c>
      <c r="Q58" s="50">
        <f t="shared" si="8"/>
        <v>1.0464772240419546</v>
      </c>
      <c r="R58" s="19">
        <f t="shared" si="12"/>
        <v>0.16773630932467604</v>
      </c>
      <c r="S58" s="141">
        <f t="shared" si="2"/>
        <v>38.566056338028162</v>
      </c>
      <c r="T58" s="19">
        <f t="shared" si="13"/>
        <v>3.0852845070422528</v>
      </c>
      <c r="U58" s="12">
        <f t="shared" si="16"/>
        <v>57.519035492957748</v>
      </c>
      <c r="V58" s="53">
        <f t="shared" si="14"/>
        <v>431.56539235412475</v>
      </c>
      <c r="W58" s="19">
        <f t="shared" si="9"/>
        <v>57.139788204920663</v>
      </c>
      <c r="X58" s="19"/>
      <c r="Z58" s="54">
        <f t="shared" si="10"/>
        <v>0.42860211795079339</v>
      </c>
      <c r="AA58">
        <f t="shared" si="11"/>
        <v>0.95333872951144016</v>
      </c>
    </row>
    <row r="59" spans="1:27" x14ac:dyDescent="0.25">
      <c r="A59" s="41">
        <v>47</v>
      </c>
      <c r="B59" s="42">
        <v>39506</v>
      </c>
      <c r="D59" s="145">
        <v>285</v>
      </c>
      <c r="E59" s="32">
        <f t="shared" si="17"/>
        <v>15</v>
      </c>
      <c r="F59" s="72">
        <f>+'[1]Con 5hE'!E60</f>
        <v>1.4627766599597585</v>
      </c>
      <c r="G59" s="47">
        <f t="shared" si="0"/>
        <v>21.941649899396378</v>
      </c>
      <c r="H59" s="47">
        <f>+F59/G83</f>
        <v>1.9367402556923379E-3</v>
      </c>
      <c r="I59" s="48">
        <f>+G59/G83</f>
        <v>2.9051103835385068E-2</v>
      </c>
      <c r="J59" s="49">
        <f t="shared" si="1"/>
        <v>8.2795645930847446</v>
      </c>
      <c r="K59" s="45">
        <f t="shared" si="15"/>
        <v>1.9367402556923379</v>
      </c>
      <c r="L59" s="51">
        <f t="shared" si="3"/>
        <v>0.92268842268842266</v>
      </c>
      <c r="M59" s="51">
        <f t="shared" si="4"/>
        <v>0.60370477092850117</v>
      </c>
      <c r="N59" s="51">
        <f t="shared" si="5"/>
        <v>0.64444048940426268</v>
      </c>
      <c r="O59" s="51">
        <f t="shared" si="6"/>
        <v>0.56093763684642062</v>
      </c>
      <c r="P59" s="51">
        <f t="shared" si="7"/>
        <v>0.88692291920584865</v>
      </c>
      <c r="Q59" s="50">
        <f t="shared" si="8"/>
        <v>1.0059745933222237</v>
      </c>
      <c r="R59" s="19">
        <f t="shared" si="12"/>
        <v>0.16182101000867707</v>
      </c>
      <c r="S59" s="141">
        <f t="shared" si="2"/>
        <v>36.554788732394364</v>
      </c>
      <c r="T59" s="19">
        <f t="shared" si="13"/>
        <v>2.9243830985915489</v>
      </c>
      <c r="U59" s="12">
        <f t="shared" si="16"/>
        <v>60.443418591549296</v>
      </c>
      <c r="V59" s="53">
        <f t="shared" si="14"/>
        <v>453.50704225352115</v>
      </c>
      <c r="W59" s="19">
        <f t="shared" si="9"/>
        <v>60.044889610941787</v>
      </c>
      <c r="X59" s="19"/>
      <c r="Z59" s="54">
        <f t="shared" si="10"/>
        <v>0.39955110389058213</v>
      </c>
      <c r="AA59">
        <f t="shared" si="11"/>
        <v>0.90168038152287899</v>
      </c>
    </row>
    <row r="60" spans="1:27" x14ac:dyDescent="0.25">
      <c r="A60" s="41">
        <v>48</v>
      </c>
      <c r="B60" s="42">
        <v>39506</v>
      </c>
      <c r="D60" s="145">
        <v>300</v>
      </c>
      <c r="E60" s="32">
        <f t="shared" si="17"/>
        <v>15</v>
      </c>
      <c r="F60" s="125">
        <f>+'[1]Con 5hE'!E61</f>
        <v>1.3722334004024144</v>
      </c>
      <c r="G60" s="47">
        <f t="shared" si="0"/>
        <v>20.583501006036215</v>
      </c>
      <c r="H60" s="47">
        <f>+F60/G83</f>
        <v>1.8168594970868973E-3</v>
      </c>
      <c r="I60" s="48">
        <f>+G60/G83</f>
        <v>2.7252892456303458E-2</v>
      </c>
      <c r="J60" s="49">
        <f t="shared" si="1"/>
        <v>8.1758677368910373</v>
      </c>
      <c r="K60" s="45">
        <f t="shared" si="15"/>
        <v>1.8168594970868974</v>
      </c>
      <c r="L60" s="51">
        <f t="shared" si="3"/>
        <v>0.97125097125097126</v>
      </c>
      <c r="M60" s="51">
        <f t="shared" si="4"/>
        <v>0.56633652513512767</v>
      </c>
      <c r="N60" s="51">
        <f t="shared" si="5"/>
        <v>0.64885538160285949</v>
      </c>
      <c r="O60" s="51">
        <f t="shared" si="6"/>
        <v>0.56383540255491815</v>
      </c>
      <c r="P60" s="51">
        <f t="shared" si="7"/>
        <v>0.83049935347950932</v>
      </c>
      <c r="Q60" s="50">
        <f t="shared" si="8"/>
        <v>0.96262009000194948</v>
      </c>
      <c r="R60" s="19">
        <f t="shared" si="12"/>
        <v>0.15704066378355658</v>
      </c>
      <c r="S60" s="141">
        <f t="shared" si="2"/>
        <v>34.292112676056334</v>
      </c>
      <c r="T60" s="19">
        <f t="shared" si="13"/>
        <v>2.7433690140845068</v>
      </c>
      <c r="U60" s="12">
        <f t="shared" si="16"/>
        <v>63.186787605633803</v>
      </c>
      <c r="V60" s="53">
        <f t="shared" si="14"/>
        <v>474.09054325955736</v>
      </c>
      <c r="W60" s="19">
        <f t="shared" si="9"/>
        <v>62.77017043474703</v>
      </c>
      <c r="X60" s="73">
        <f>+((([1]Resumen!N8-F60)*(D61-D60))/(F61-F60))+D60</f>
        <v>287.99999999999994</v>
      </c>
      <c r="Y60" s="74" t="s">
        <v>78</v>
      </c>
      <c r="Z60" s="54">
        <f t="shared" si="10"/>
        <v>0.3722982956525297</v>
      </c>
      <c r="AA60">
        <f t="shared" si="11"/>
        <v>0.85282123263774134</v>
      </c>
    </row>
    <row r="61" spans="1:27" x14ac:dyDescent="0.25">
      <c r="A61" s="41">
        <v>49</v>
      </c>
      <c r="B61" s="42">
        <v>39506</v>
      </c>
      <c r="D61" s="149">
        <v>315</v>
      </c>
      <c r="E61" s="32">
        <f t="shared" si="17"/>
        <v>15</v>
      </c>
      <c r="F61" s="125">
        <f>+'[1]Con 5hE'!E62</f>
        <v>1.3118712273641853</v>
      </c>
      <c r="G61" s="47">
        <f t="shared" si="0"/>
        <v>19.678068410462778</v>
      </c>
      <c r="H61" s="47">
        <f>+F61/G83</f>
        <v>1.7369389913499374E-3</v>
      </c>
      <c r="I61" s="48">
        <f>+G61/G83</f>
        <v>2.6054084870249059E-2</v>
      </c>
      <c r="J61" s="49">
        <f t="shared" si="1"/>
        <v>8.2070367341284527</v>
      </c>
      <c r="K61" s="45">
        <f t="shared" si="15"/>
        <v>1.7369389913499373</v>
      </c>
      <c r="L61" s="51">
        <f t="shared" si="3"/>
        <v>1.0198135198135199</v>
      </c>
      <c r="M61" s="51">
        <f t="shared" si="4"/>
        <v>0.54142436127287874</v>
      </c>
      <c r="N61" s="51">
        <f t="shared" si="5"/>
        <v>0.64922871075528521</v>
      </c>
      <c r="O61" s="51">
        <f t="shared" si="6"/>
        <v>0.56408021930347418</v>
      </c>
      <c r="P61" s="51">
        <f t="shared" si="7"/>
        <v>0.77260678847799424</v>
      </c>
      <c r="Q61" s="50">
        <f t="shared" si="8"/>
        <v>0.91733446157708465</v>
      </c>
      <c r="R61" s="19">
        <f t="shared" si="12"/>
        <v>0.14130840351071813</v>
      </c>
      <c r="S61" s="141">
        <f t="shared" si="2"/>
        <v>32.783661971830988</v>
      </c>
      <c r="T61" s="19">
        <f t="shared" si="13"/>
        <v>2.6226929577464793</v>
      </c>
      <c r="U61" s="12">
        <f t="shared" si="16"/>
        <v>65.809480563380276</v>
      </c>
      <c r="V61" s="53">
        <f t="shared" si="14"/>
        <v>493.76861167002016</v>
      </c>
      <c r="W61" s="19">
        <f t="shared" si="9"/>
        <v>65.375570870408353</v>
      </c>
      <c r="X61" s="19"/>
      <c r="Z61" s="54">
        <f t="shared" si="10"/>
        <v>0.3462442912959165</v>
      </c>
      <c r="AA61">
        <f t="shared" si="11"/>
        <v>0.80660960329356157</v>
      </c>
    </row>
    <row r="62" spans="1:27" x14ac:dyDescent="0.25">
      <c r="A62" s="41">
        <v>50</v>
      </c>
      <c r="B62" s="42">
        <v>39506</v>
      </c>
      <c r="D62" s="145">
        <v>330</v>
      </c>
      <c r="E62" s="32">
        <f t="shared" si="17"/>
        <v>15</v>
      </c>
      <c r="F62" s="125">
        <f>+'[1]Con 5hE'!E63</f>
        <v>1.2515090543259557</v>
      </c>
      <c r="G62" s="47">
        <f t="shared" si="0"/>
        <v>18.772635814889334</v>
      </c>
      <c r="H62" s="47">
        <f>+F62/G83</f>
        <v>1.6570184856129768E-3</v>
      </c>
      <c r="I62" s="48">
        <f>+G62/G83</f>
        <v>2.4855277284194649E-2</v>
      </c>
      <c r="J62" s="49">
        <f t="shared" si="1"/>
        <v>8.2022415037842347</v>
      </c>
      <c r="K62" s="45">
        <f t="shared" si="15"/>
        <v>1.6570184856129768</v>
      </c>
      <c r="L62" s="51">
        <f t="shared" si="3"/>
        <v>1.0683760683760684</v>
      </c>
      <c r="M62" s="51">
        <f t="shared" si="4"/>
        <v>0.5165121974106297</v>
      </c>
      <c r="N62" s="51">
        <f t="shared" si="5"/>
        <v>0.6455534964690377</v>
      </c>
      <c r="O62" s="51">
        <f t="shared" si="6"/>
        <v>0.56166862977598775</v>
      </c>
      <c r="P62" s="51">
        <f t="shared" si="7"/>
        <v>0.71482644220126701</v>
      </c>
      <c r="Q62" s="50">
        <f t="shared" si="8"/>
        <v>0.87090835843019854</v>
      </c>
      <c r="R62" s="19">
        <f t="shared" si="12"/>
        <v>0.12559663894540815</v>
      </c>
      <c r="S62" s="141">
        <f t="shared" si="2"/>
        <v>31.275211267605631</v>
      </c>
      <c r="T62" s="19">
        <f t="shared" si="13"/>
        <v>2.5020169014084508</v>
      </c>
      <c r="U62" s="12">
        <f t="shared" si="16"/>
        <v>68.311497464788729</v>
      </c>
      <c r="V62" s="53">
        <f t="shared" si="14"/>
        <v>512.54124748490949</v>
      </c>
      <c r="W62" s="19">
        <f t="shared" si="9"/>
        <v>67.861090917925736</v>
      </c>
      <c r="Z62" s="54">
        <f t="shared" si="10"/>
        <v>0.32138909082074263</v>
      </c>
      <c r="AA62">
        <f t="shared" si="11"/>
        <v>0.76290203295368053</v>
      </c>
    </row>
    <row r="63" spans="1:27" x14ac:dyDescent="0.25">
      <c r="A63" s="41">
        <v>51</v>
      </c>
      <c r="B63" s="42">
        <v>39506</v>
      </c>
      <c r="D63" s="145">
        <v>345</v>
      </c>
      <c r="E63" s="32">
        <f t="shared" si="17"/>
        <v>15</v>
      </c>
      <c r="F63" s="125">
        <f>+'[1]Con 5hE'!E64</f>
        <v>1.1609657947686116</v>
      </c>
      <c r="G63" s="47">
        <f t="shared" si="0"/>
        <v>17.414486921529175</v>
      </c>
      <c r="H63" s="47">
        <f>+F63/G83</f>
        <v>1.5371377270075363E-3</v>
      </c>
      <c r="I63" s="48">
        <f>+G63/G83</f>
        <v>2.3057065905113045E-2</v>
      </c>
      <c r="J63" s="49">
        <f t="shared" si="1"/>
        <v>7.9546877372640008</v>
      </c>
      <c r="K63" s="45">
        <f t="shared" si="15"/>
        <v>1.5371377270075361</v>
      </c>
      <c r="L63" s="51">
        <f t="shared" si="3"/>
        <v>1.1169386169386168</v>
      </c>
      <c r="M63" s="51">
        <f t="shared" si="4"/>
        <v>0.47914395161725615</v>
      </c>
      <c r="N63" s="51">
        <f t="shared" si="5"/>
        <v>0.63789834026024805</v>
      </c>
      <c r="O63" s="51">
        <f t="shared" si="6"/>
        <v>0.55663464697024123</v>
      </c>
      <c r="P63" s="51">
        <f t="shared" si="7"/>
        <v>0.6583199259723661</v>
      </c>
      <c r="Q63" s="50">
        <f t="shared" si="8"/>
        <v>0.82401280319320724</v>
      </c>
      <c r="R63" s="19">
        <f t="shared" si="12"/>
        <v>0.11893452478731539</v>
      </c>
      <c r="S63" s="141">
        <f t="shared" si="2"/>
        <v>29.012535211267604</v>
      </c>
      <c r="T63" s="19">
        <f t="shared" si="13"/>
        <v>2.3210028169014083</v>
      </c>
      <c r="U63" s="12">
        <f t="shared" si="16"/>
        <v>70.632500281690142</v>
      </c>
      <c r="V63" s="53">
        <f t="shared" si="14"/>
        <v>529.95573440643864</v>
      </c>
      <c r="W63" s="19">
        <f t="shared" si="9"/>
        <v>70.166790383227237</v>
      </c>
      <c r="Y63" s="106"/>
      <c r="Z63" s="54">
        <f t="shared" si="10"/>
        <v>0.2983320961677276</v>
      </c>
      <c r="AA63">
        <f t="shared" si="11"/>
        <v>0.72156283474477256</v>
      </c>
    </row>
    <row r="64" spans="1:27" x14ac:dyDescent="0.25">
      <c r="A64" s="41">
        <v>52</v>
      </c>
      <c r="B64" s="42">
        <v>39506</v>
      </c>
      <c r="D64" s="145">
        <v>360</v>
      </c>
      <c r="E64" s="32">
        <f>+D64-D63</f>
        <v>15</v>
      </c>
      <c r="F64" s="125">
        <f>+'[1]Con 5hE'!E65</f>
        <v>1.1207243460764587</v>
      </c>
      <c r="G64" s="47">
        <f t="shared" si="0"/>
        <v>16.810865191146881</v>
      </c>
      <c r="H64" s="47">
        <f>+F64/G83</f>
        <v>1.4838573898495627E-3</v>
      </c>
      <c r="I64" s="48">
        <f>+G64/G83</f>
        <v>2.2257860847743442E-2</v>
      </c>
      <c r="J64" s="49">
        <f t="shared" si="1"/>
        <v>8.0128299051876386</v>
      </c>
      <c r="K64" s="45">
        <f t="shared" si="15"/>
        <v>1.4838573898495626</v>
      </c>
      <c r="L64" s="51">
        <f t="shared" si="3"/>
        <v>1.1655011655011656</v>
      </c>
      <c r="M64" s="51">
        <f t="shared" si="4"/>
        <v>0.46253584237575679</v>
      </c>
      <c r="N64" s="51">
        <f t="shared" si="5"/>
        <v>0.62640529579037318</v>
      </c>
      <c r="O64" s="51">
        <f t="shared" si="6"/>
        <v>0.54904895592061698</v>
      </c>
      <c r="P64" s="51">
        <f t="shared" si="7"/>
        <v>0.60390983471956972</v>
      </c>
      <c r="Q64" s="50">
        <f t="shared" si="8"/>
        <v>0.77721022524246974</v>
      </c>
      <c r="R64" s="19">
        <f t="shared" si="12"/>
        <v>9.9019967232546649E-2</v>
      </c>
      <c r="S64" s="141">
        <f t="shared" si="2"/>
        <v>28.006901408450702</v>
      </c>
      <c r="T64" s="19">
        <f t="shared" si="13"/>
        <v>2.2405521126760561</v>
      </c>
      <c r="U64" s="12">
        <f t="shared" si="16"/>
        <v>72.873052394366198</v>
      </c>
      <c r="V64" s="53">
        <f t="shared" si="14"/>
        <v>546.76659959758547</v>
      </c>
      <c r="W64" s="19">
        <f t="shared" si="9"/>
        <v>72.392569589766111</v>
      </c>
      <c r="X64" s="19"/>
      <c r="Y64" s="106"/>
      <c r="Z64" s="54">
        <f t="shared" si="10"/>
        <v>0.27607430410233891</v>
      </c>
      <c r="AA64">
        <f t="shared" si="11"/>
        <v>0.68246367422712462</v>
      </c>
    </row>
    <row r="65" spans="1:27" x14ac:dyDescent="0.25">
      <c r="A65" s="41">
        <v>53</v>
      </c>
      <c r="B65" s="42">
        <v>39506</v>
      </c>
      <c r="D65" s="145">
        <v>380</v>
      </c>
      <c r="E65" s="32">
        <f t="shared" si="17"/>
        <v>20</v>
      </c>
      <c r="F65" s="125">
        <f>+'[1]Con 5hE'!E66</f>
        <v>0.98993963782696159</v>
      </c>
      <c r="G65" s="47">
        <f t="shared" si="0"/>
        <v>19.798792756539232</v>
      </c>
      <c r="H65" s="47">
        <f>+F65/G83</f>
        <v>1.3106962940861487E-3</v>
      </c>
      <c r="I65" s="48">
        <f>+G65/G83</f>
        <v>2.6213925881722975E-2</v>
      </c>
      <c r="J65" s="49">
        <f t="shared" si="1"/>
        <v>9.9612918350547304</v>
      </c>
      <c r="K65" s="45">
        <f t="shared" si="15"/>
        <v>1.3106962940861488</v>
      </c>
      <c r="L65" s="51">
        <f t="shared" si="3"/>
        <v>1.2302512302512303</v>
      </c>
      <c r="M65" s="51">
        <f t="shared" si="4"/>
        <v>0.40855948734088388</v>
      </c>
      <c r="N65" s="51">
        <f t="shared" si="5"/>
        <v>0.60548525844504597</v>
      </c>
      <c r="O65" s="51">
        <f t="shared" si="6"/>
        <v>0.53515282648346674</v>
      </c>
      <c r="P65" s="51">
        <f t="shared" si="7"/>
        <v>0.53555085221698462</v>
      </c>
      <c r="Q65" s="50">
        <f t="shared" si="8"/>
        <v>0.71574233132666709</v>
      </c>
      <c r="R65" s="19">
        <f t="shared" si="12"/>
        <v>9.4361299639194027E-2</v>
      </c>
      <c r="S65" s="141">
        <f t="shared" si="2"/>
        <v>32.984788732394357</v>
      </c>
      <c r="T65" s="19">
        <f t="shared" si="13"/>
        <v>2.6387830985915484</v>
      </c>
      <c r="U65" s="12">
        <f t="shared" si="16"/>
        <v>75.511835492957744</v>
      </c>
      <c r="V65" s="53">
        <f t="shared" si="14"/>
        <v>566.5653923541247</v>
      </c>
      <c r="W65" s="19">
        <f t="shared" si="9"/>
        <v>75.013954077179946</v>
      </c>
      <c r="X65" s="19"/>
      <c r="Y65" s="106"/>
      <c r="Z65" s="54">
        <f t="shared" si="10"/>
        <v>0.24986045922820055</v>
      </c>
      <c r="AA65">
        <f t="shared" si="11"/>
        <v>0.63360712426112842</v>
      </c>
    </row>
    <row r="66" spans="1:27" x14ac:dyDescent="0.25">
      <c r="A66" s="41">
        <v>54</v>
      </c>
      <c r="B66" s="42">
        <v>39506</v>
      </c>
      <c r="D66" s="145">
        <v>400</v>
      </c>
      <c r="E66" s="32">
        <f t="shared" si="17"/>
        <v>20</v>
      </c>
      <c r="F66" s="125">
        <f>+'[1]Con 5hE'!E67</f>
        <v>0.96981891348088545</v>
      </c>
      <c r="G66" s="47">
        <f t="shared" si="0"/>
        <v>19.39637826961771</v>
      </c>
      <c r="H66" s="47">
        <f>+F66/G83</f>
        <v>1.2840561255071624E-3</v>
      </c>
      <c r="I66" s="48">
        <f>+G66/G83</f>
        <v>2.5681122510143248E-2</v>
      </c>
      <c r="J66" s="49">
        <f t="shared" si="1"/>
        <v>10.272449004057298</v>
      </c>
      <c r="K66" s="45">
        <f t="shared" si="15"/>
        <v>1.2840561255071623</v>
      </c>
      <c r="L66" s="51">
        <f t="shared" si="3"/>
        <v>1.295001295001295</v>
      </c>
      <c r="M66" s="51">
        <f t="shared" si="4"/>
        <v>0.40025543272013431</v>
      </c>
      <c r="N66" s="51">
        <f t="shared" si="5"/>
        <v>0.57879470884246875</v>
      </c>
      <c r="O66" s="51">
        <f t="shared" si="6"/>
        <v>0.5172511906790942</v>
      </c>
      <c r="P66" s="51">
        <f t="shared" si="7"/>
        <v>0.47263909390223724</v>
      </c>
      <c r="Q66" s="50">
        <f t="shared" si="8"/>
        <v>0.65612347813300176</v>
      </c>
      <c r="R66" s="19">
        <f t="shared" si="12"/>
        <v>6.5468456663401203E-2</v>
      </c>
      <c r="S66" s="141">
        <f t="shared" si="2"/>
        <v>32.314366197183098</v>
      </c>
      <c r="T66" s="19">
        <f t="shared" si="13"/>
        <v>2.5851492957746478</v>
      </c>
      <c r="U66" s="12">
        <f t="shared" si="16"/>
        <v>78.096984788732385</v>
      </c>
      <c r="V66" s="53">
        <f t="shared" si="14"/>
        <v>585.96177062374238</v>
      </c>
      <c r="W66" s="19">
        <f t="shared" si="9"/>
        <v>77.582058392085372</v>
      </c>
      <c r="Y66" s="105"/>
      <c r="Z66" s="54">
        <f t="shared" si="10"/>
        <v>0.22417941607914627</v>
      </c>
      <c r="AA66">
        <f t="shared" si="11"/>
        <v>0.58824814136679027</v>
      </c>
    </row>
    <row r="67" spans="1:27" x14ac:dyDescent="0.25">
      <c r="A67" s="41">
        <v>55</v>
      </c>
      <c r="B67" s="42">
        <v>39506</v>
      </c>
      <c r="D67" s="145">
        <v>420</v>
      </c>
      <c r="E67" s="32">
        <f>+D67-D66</f>
        <v>20</v>
      </c>
      <c r="F67" s="125">
        <f>+'[1]Con 5hE'!E68</f>
        <v>0.91951710261569419</v>
      </c>
      <c r="G67" s="47">
        <f t="shared" si="0"/>
        <v>18.390342052313883</v>
      </c>
      <c r="H67" s="47">
        <f>+F67/G83</f>
        <v>1.2174557040596952E-3</v>
      </c>
      <c r="I67" s="48">
        <f>+G67/G83</f>
        <v>2.4349114081193904E-2</v>
      </c>
      <c r="J67" s="49">
        <f t="shared" si="1"/>
        <v>10.22662791410144</v>
      </c>
      <c r="K67" s="45">
        <f t="shared" si="15"/>
        <v>1.2174557040596952</v>
      </c>
      <c r="L67" s="51">
        <f t="shared" si="3"/>
        <v>1.3597513597513597</v>
      </c>
      <c r="M67" s="51">
        <f t="shared" si="4"/>
        <v>0.37949529616826005</v>
      </c>
      <c r="N67" s="51">
        <f t="shared" si="5"/>
        <v>0.54716505811436378</v>
      </c>
      <c r="O67" s="51">
        <f t="shared" si="6"/>
        <v>0.49577211564156615</v>
      </c>
      <c r="P67" s="51">
        <f t="shared" si="7"/>
        <v>0.41547086893476626</v>
      </c>
      <c r="Q67" s="50">
        <f t="shared" si="8"/>
        <v>0.59898966937462383</v>
      </c>
      <c r="R67" s="19">
        <f t="shared" si="12"/>
        <v>4.8177779869254506E-2</v>
      </c>
      <c r="S67" s="141">
        <f t="shared" si="2"/>
        <v>30.63830985915493</v>
      </c>
      <c r="T67" s="19">
        <f t="shared" si="13"/>
        <v>2.4510647887323942</v>
      </c>
      <c r="U67" s="12">
        <f t="shared" si="16"/>
        <v>80.548049577464781</v>
      </c>
      <c r="V67" s="53">
        <f t="shared" si="14"/>
        <v>604.35211267605632</v>
      </c>
      <c r="W67" s="19">
        <f t="shared" si="9"/>
        <v>80.016962275719777</v>
      </c>
      <c r="Y67" s="106"/>
      <c r="Z67" s="54">
        <f t="shared" si="10"/>
        <v>0.19983037724280228</v>
      </c>
      <c r="AA67">
        <f t="shared" si="11"/>
        <v>0.54613633996778066</v>
      </c>
    </row>
    <row r="68" spans="1:27" x14ac:dyDescent="0.25">
      <c r="A68" s="41">
        <v>56</v>
      </c>
      <c r="B68" s="42">
        <v>39506</v>
      </c>
      <c r="D68" s="145">
        <v>440</v>
      </c>
      <c r="E68" s="32">
        <f t="shared" si="17"/>
        <v>20</v>
      </c>
      <c r="F68" s="125">
        <f>+'[1]Con 5hE'!E69</f>
        <v>0.68812877263581473</v>
      </c>
      <c r="G68" s="47">
        <f t="shared" si="0"/>
        <v>13.762575452716295</v>
      </c>
      <c r="H68" s="47">
        <f>+F68/G83</f>
        <v>9.110937654013472E-4</v>
      </c>
      <c r="I68" s="48">
        <f>+G68/G83</f>
        <v>1.8221875308026943E-2</v>
      </c>
      <c r="J68" s="49">
        <f t="shared" si="1"/>
        <v>8.0176251355318549</v>
      </c>
      <c r="K68" s="45">
        <f t="shared" si="15"/>
        <v>0.91109376540134723</v>
      </c>
      <c r="L68" s="51">
        <f t="shared" si="3"/>
        <v>1.4245014245014245</v>
      </c>
      <c r="M68" s="51">
        <f t="shared" si="4"/>
        <v>0.28399866802963875</v>
      </c>
      <c r="N68" s="51">
        <f t="shared" si="5"/>
        <v>0.51154634262982579</v>
      </c>
      <c r="O68" s="51">
        <f t="shared" si="6"/>
        <v>0.47121555253464348</v>
      </c>
      <c r="P68" s="51">
        <f t="shared" si="7"/>
        <v>0.36403101298923923</v>
      </c>
      <c r="Q68" s="50">
        <f t="shared" si="8"/>
        <v>0.54478488300368422</v>
      </c>
      <c r="R68" s="19">
        <f t="shared" si="12"/>
        <v>6.800944992048906E-2</v>
      </c>
      <c r="S68" s="141">
        <f t="shared" si="2"/>
        <v>22.928450704225348</v>
      </c>
      <c r="T68" s="19">
        <f t="shared" si="13"/>
        <v>1.834276056338028</v>
      </c>
      <c r="U68" s="12">
        <f t="shared" si="16"/>
        <v>82.382325633802807</v>
      </c>
      <c r="V68" s="53">
        <f t="shared" si="14"/>
        <v>618.11468812877263</v>
      </c>
      <c r="W68" s="19">
        <f t="shared" si="9"/>
        <v>81.839144175507457</v>
      </c>
      <c r="X68" s="19"/>
      <c r="Z68" s="54">
        <f t="shared" si="10"/>
        <v>0.18160855824492539</v>
      </c>
      <c r="AA68">
        <f t="shared" si="11"/>
        <v>0.50703925921531479</v>
      </c>
    </row>
    <row r="69" spans="1:27" x14ac:dyDescent="0.25">
      <c r="A69" s="41">
        <v>57</v>
      </c>
      <c r="B69" s="42">
        <v>39506</v>
      </c>
      <c r="D69" s="145">
        <v>460</v>
      </c>
      <c r="E69" s="32">
        <f t="shared" si="17"/>
        <v>20</v>
      </c>
      <c r="F69" s="125">
        <f>+'[1]Con 5hE'!E70</f>
        <v>0.71830985915492951</v>
      </c>
      <c r="G69" s="47">
        <f t="shared" si="0"/>
        <v>14.36619718309859</v>
      </c>
      <c r="H69" s="47">
        <f>+F69/G83</f>
        <v>9.510540182698275E-4</v>
      </c>
      <c r="I69" s="48">
        <f>+G69/G83</f>
        <v>1.9021080365396549E-2</v>
      </c>
      <c r="J69" s="49">
        <f t="shared" si="1"/>
        <v>8.7496969680824126</v>
      </c>
      <c r="K69" s="45">
        <f t="shared" si="15"/>
        <v>0.95105401826982749</v>
      </c>
      <c r="L69" s="51">
        <f t="shared" si="3"/>
        <v>1.4892514892514892</v>
      </c>
      <c r="M69" s="51">
        <f t="shared" si="4"/>
        <v>0.29645474996076332</v>
      </c>
      <c r="N69" s="51">
        <f t="shared" si="5"/>
        <v>0.47296002718910629</v>
      </c>
      <c r="O69" s="51">
        <f t="shared" si="6"/>
        <v>0.44413403699379173</v>
      </c>
      <c r="P69" s="51">
        <f t="shared" si="7"/>
        <v>0.31810372380822227</v>
      </c>
      <c r="Q69" s="50">
        <f t="shared" si="8"/>
        <v>0.49379594029431773</v>
      </c>
      <c r="R69" s="19">
        <f t="shared" si="12"/>
        <v>3.8943545402264149E-2</v>
      </c>
      <c r="S69" s="141">
        <f t="shared" si="2"/>
        <v>23.93408450704225</v>
      </c>
      <c r="T69" s="19">
        <f t="shared" si="13"/>
        <v>1.91472676056338</v>
      </c>
      <c r="U69" s="12">
        <f t="shared" si="16"/>
        <v>84.29705239436619</v>
      </c>
      <c r="V69" s="53">
        <f t="shared" si="14"/>
        <v>632.48088531187125</v>
      </c>
      <c r="W69" s="19">
        <f t="shared" si="9"/>
        <v>83.741246334057735</v>
      </c>
      <c r="X69" s="19"/>
      <c r="Z69" s="54">
        <f t="shared" si="10"/>
        <v>0.1625875366594226</v>
      </c>
      <c r="AA69">
        <f t="shared" si="11"/>
        <v>0.47074107978381785</v>
      </c>
    </row>
    <row r="70" spans="1:27" x14ac:dyDescent="0.25">
      <c r="A70" s="41">
        <v>58</v>
      </c>
      <c r="B70" s="42">
        <v>39506</v>
      </c>
      <c r="D70" s="145">
        <v>480</v>
      </c>
      <c r="E70" s="32">
        <f t="shared" si="17"/>
        <v>20</v>
      </c>
      <c r="F70" s="125">
        <f>+'[1]Con 5hE'!E71</f>
        <v>0.72837022132796769</v>
      </c>
      <c r="G70" s="47">
        <f t="shared" si="0"/>
        <v>14.567404426559353</v>
      </c>
      <c r="H70" s="47">
        <f>+F70/G83</f>
        <v>9.6437410255932078E-4</v>
      </c>
      <c r="I70" s="48">
        <f>+G70/G83</f>
        <v>1.9287482051186414E-2</v>
      </c>
      <c r="J70" s="49">
        <f t="shared" si="1"/>
        <v>9.257991384569479</v>
      </c>
      <c r="K70" s="45">
        <f t="shared" si="15"/>
        <v>0.96437410255932077</v>
      </c>
      <c r="L70" s="51">
        <f t="shared" si="3"/>
        <v>1.5540015540015539</v>
      </c>
      <c r="M70" s="51">
        <f t="shared" si="4"/>
        <v>0.3006067772711381</v>
      </c>
      <c r="N70" s="51">
        <f t="shared" si="5"/>
        <v>0.43245081084845649</v>
      </c>
      <c r="O70" s="51">
        <f t="shared" si="6"/>
        <v>0.4151121268012824</v>
      </c>
      <c r="P70" s="51">
        <f t="shared" si="7"/>
        <v>0.2773520056984432</v>
      </c>
      <c r="Q70" s="50">
        <f t="shared" si="8"/>
        <v>0.44618300819786921</v>
      </c>
      <c r="R70" s="19">
        <f t="shared" si="12"/>
        <v>2.1192439010832943E-2</v>
      </c>
      <c r="S70" s="141">
        <f t="shared" si="2"/>
        <v>24.269295774647883</v>
      </c>
      <c r="T70" s="19">
        <f t="shared" si="13"/>
        <v>1.9415436619718305</v>
      </c>
      <c r="U70" s="12">
        <f t="shared" si="16"/>
        <v>86.238596056338025</v>
      </c>
      <c r="V70" s="53">
        <f t="shared" si="14"/>
        <v>647.04828973843064</v>
      </c>
      <c r="W70" s="19">
        <f t="shared" si="9"/>
        <v>85.669988578862231</v>
      </c>
      <c r="X70" s="19"/>
      <c r="Z70" s="54">
        <f t="shared" si="10"/>
        <v>0.14330011421137767</v>
      </c>
      <c r="AA70">
        <f t="shared" si="11"/>
        <v>0.43704143252925748</v>
      </c>
    </row>
    <row r="71" spans="1:27" x14ac:dyDescent="0.25">
      <c r="A71" s="41">
        <v>59</v>
      </c>
      <c r="B71" s="42">
        <v>39506</v>
      </c>
      <c r="D71" s="145">
        <v>510</v>
      </c>
      <c r="E71" s="32">
        <f t="shared" si="17"/>
        <v>30</v>
      </c>
      <c r="F71" s="125">
        <f>+'[1]Con 5hE'!E72</f>
        <v>0.60764587525150904</v>
      </c>
      <c r="G71" s="47">
        <f t="shared" si="0"/>
        <v>18.229376257545272</v>
      </c>
      <c r="H71" s="47">
        <f>+F71/G83</f>
        <v>8.0453309108540036E-4</v>
      </c>
      <c r="I71" s="48">
        <f>+G71/G83</f>
        <v>2.4135992732562013E-2</v>
      </c>
      <c r="J71" s="49">
        <f t="shared" si="1"/>
        <v>12.309356293606626</v>
      </c>
      <c r="K71" s="45">
        <f t="shared" si="15"/>
        <v>0.80453309108540039</v>
      </c>
      <c r="L71" s="51">
        <f t="shared" si="3"/>
        <v>1.6511266511266511</v>
      </c>
      <c r="M71" s="51">
        <f t="shared" si="4"/>
        <v>0.25078244954664014</v>
      </c>
      <c r="N71" s="51">
        <f t="shared" si="5"/>
        <v>0.37030039923583902</v>
      </c>
      <c r="O71" s="51">
        <f t="shared" si="6"/>
        <v>0.36924250998928626</v>
      </c>
      <c r="P71" s="51">
        <f t="shared" si="7"/>
        <v>0.22504008043334639</v>
      </c>
      <c r="Q71" s="50">
        <f t="shared" si="8"/>
        <v>0.38120255265971126</v>
      </c>
      <c r="R71" s="19">
        <f t="shared" si="12"/>
        <v>1.7009403296024104E-2</v>
      </c>
      <c r="S71" s="141">
        <f t="shared" si="2"/>
        <v>30.37014084507042</v>
      </c>
      <c r="T71" s="19">
        <f t="shared" si="13"/>
        <v>2.4296112676056336</v>
      </c>
      <c r="U71" s="12">
        <f t="shared" si="16"/>
        <v>88.668207323943662</v>
      </c>
      <c r="V71" s="53">
        <f t="shared" si="14"/>
        <v>665.27766599597589</v>
      </c>
      <c r="W71" s="19">
        <f t="shared" si="9"/>
        <v>88.083580393493264</v>
      </c>
      <c r="X71" s="19"/>
      <c r="Z71" s="54">
        <f t="shared" si="10"/>
        <v>0.11916419606506734</v>
      </c>
      <c r="AA71">
        <f t="shared" si="11"/>
        <v>0.39096094773614565</v>
      </c>
    </row>
    <row r="72" spans="1:27" x14ac:dyDescent="0.25">
      <c r="A72" s="41">
        <v>60</v>
      </c>
      <c r="B72" s="42">
        <v>39506</v>
      </c>
      <c r="D72" s="150">
        <v>540</v>
      </c>
      <c r="E72" s="32">
        <f t="shared" si="17"/>
        <v>30</v>
      </c>
      <c r="F72" s="125">
        <f>+'[1]Con 5hE'!E73</f>
        <v>0.50704225352112675</v>
      </c>
      <c r="G72" s="47">
        <f t="shared" si="0"/>
        <v>15.211267605633802</v>
      </c>
      <c r="H72" s="47">
        <f>+F72/G83</f>
        <v>6.7133224819046651E-4</v>
      </c>
      <c r="I72" s="48">
        <f>+G72/G83</f>
        <v>2.0139967445713995E-2</v>
      </c>
      <c r="J72" s="49">
        <f t="shared" si="1"/>
        <v>10.875582420685557</v>
      </c>
      <c r="K72" s="45">
        <f t="shared" si="15"/>
        <v>0.67133224819046655</v>
      </c>
      <c r="L72" s="51">
        <f t="shared" si="3"/>
        <v>1.7482517482517483</v>
      </c>
      <c r="M72" s="51">
        <f t="shared" si="4"/>
        <v>0.20926217644289177</v>
      </c>
      <c r="N72" s="51">
        <f t="shared" si="5"/>
        <v>0.30925056454478461</v>
      </c>
      <c r="O72" s="51">
        <f t="shared" si="6"/>
        <v>0.3223005470662077</v>
      </c>
      <c r="P72" s="51">
        <f t="shared" si="7"/>
        <v>0.18201527740479748</v>
      </c>
      <c r="Q72" s="50">
        <f t="shared" si="8"/>
        <v>0.32382679415302384</v>
      </c>
      <c r="R72" s="19">
        <f t="shared" si="12"/>
        <v>1.3125051631068706E-2</v>
      </c>
      <c r="S72" s="141">
        <f t="shared" si="2"/>
        <v>25.341971830985916</v>
      </c>
      <c r="T72" s="19">
        <f t="shared" si="13"/>
        <v>2.0273577464788732</v>
      </c>
      <c r="U72" s="12">
        <f t="shared" si="16"/>
        <v>90.695565070422532</v>
      </c>
      <c r="V72" s="53">
        <f t="shared" si="14"/>
        <v>680.48893360160969</v>
      </c>
      <c r="W72" s="19">
        <f t="shared" si="9"/>
        <v>90.097570914311206</v>
      </c>
      <c r="X72" s="77">
        <f>+(((90-W71)*(D72-D71))/(W72-W71))+D71</f>
        <v>538.54660317460309</v>
      </c>
      <c r="Y72" s="66" t="s">
        <v>118</v>
      </c>
      <c r="Z72" s="54">
        <f t="shared" si="10"/>
        <v>9.9024290856887909E-2</v>
      </c>
      <c r="AA72">
        <f t="shared" si="11"/>
        <v>0.34973906654608239</v>
      </c>
    </row>
    <row r="73" spans="1:27" x14ac:dyDescent="0.25">
      <c r="A73" s="41">
        <v>61</v>
      </c>
      <c r="B73" s="42">
        <v>39506</v>
      </c>
      <c r="D73" s="145">
        <v>570</v>
      </c>
      <c r="E73" s="32">
        <f t="shared" si="17"/>
        <v>30</v>
      </c>
      <c r="F73" s="125">
        <f>+'[1]Con 5hE'!E74</f>
        <v>0.4164989939637827</v>
      </c>
      <c r="G73" s="47">
        <f t="shared" si="0"/>
        <v>12.49496981891348</v>
      </c>
      <c r="H73" s="47">
        <f>+F73/G83</f>
        <v>5.5145148958502606E-4</v>
      </c>
      <c r="I73" s="48">
        <f>+G73/G83</f>
        <v>1.6543544687550781E-2</v>
      </c>
      <c r="J73" s="49">
        <f t="shared" si="1"/>
        <v>9.4298204719039447</v>
      </c>
      <c r="K73" s="45">
        <f t="shared" si="15"/>
        <v>0.5514514895850261</v>
      </c>
      <c r="L73" s="51">
        <f t="shared" si="3"/>
        <v>1.8453768453768453</v>
      </c>
      <c r="M73" s="51">
        <f t="shared" si="4"/>
        <v>0.17189393064951825</v>
      </c>
      <c r="N73" s="51">
        <f t="shared" si="5"/>
        <v>0.25188695610443862</v>
      </c>
      <c r="O73" s="51">
        <f t="shared" si="6"/>
        <v>0.27606634491484067</v>
      </c>
      <c r="P73" s="51">
        <f t="shared" si="7"/>
        <v>0.14686064560629303</v>
      </c>
      <c r="Q73" s="50">
        <f t="shared" si="8"/>
        <v>0.27368620677955452</v>
      </c>
      <c r="R73" s="19">
        <f t="shared" si="12"/>
        <v>1.0361667479733553E-2</v>
      </c>
      <c r="S73" s="141">
        <f t="shared" si="2"/>
        <v>20.816619718309859</v>
      </c>
      <c r="T73" s="19">
        <f t="shared" si="13"/>
        <v>1.6653295774647887</v>
      </c>
      <c r="U73" s="12">
        <f t="shared" si="16"/>
        <v>92.360894647887321</v>
      </c>
      <c r="V73" s="53">
        <f t="shared" si="14"/>
        <v>692.98390342052312</v>
      </c>
      <c r="W73" s="19">
        <f t="shared" si="9"/>
        <v>91.751920270697369</v>
      </c>
      <c r="X73" s="19"/>
      <c r="Z73" s="54">
        <f t="shared" si="10"/>
        <v>8.2480797293026265E-2</v>
      </c>
      <c r="AA73">
        <f t="shared" si="11"/>
        <v>0.31286351073375118</v>
      </c>
    </row>
    <row r="74" spans="1:27" x14ac:dyDescent="0.25">
      <c r="A74" s="41">
        <v>62</v>
      </c>
      <c r="B74" s="42">
        <v>39506</v>
      </c>
      <c r="D74" s="145">
        <v>600</v>
      </c>
      <c r="E74" s="32">
        <f>+D74-D73</f>
        <v>30</v>
      </c>
      <c r="F74" s="125">
        <f>+'[1]Con 5hE'!E75</f>
        <v>0.3762575452716298</v>
      </c>
      <c r="G74" s="47">
        <f t="shared" si="0"/>
        <v>11.287726358148895</v>
      </c>
      <c r="H74" s="47">
        <f>+F74/G83</f>
        <v>4.9817115242705259E-4</v>
      </c>
      <c r="I74" s="48">
        <f>+G74/G83</f>
        <v>1.4945134572811578E-2</v>
      </c>
      <c r="J74" s="49">
        <f t="shared" si="1"/>
        <v>8.9670807436869477</v>
      </c>
      <c r="K74" s="45">
        <f t="shared" si="15"/>
        <v>0.49817115242705257</v>
      </c>
      <c r="L74" s="51">
        <f t="shared" si="3"/>
        <v>1.9425019425019425</v>
      </c>
      <c r="M74" s="51">
        <f t="shared" si="4"/>
        <v>0.15528582140801889</v>
      </c>
      <c r="N74" s="51">
        <f t="shared" si="5"/>
        <v>0.20009660113205105</v>
      </c>
      <c r="O74" s="51">
        <f t="shared" si="6"/>
        <v>0.23204326215334165</v>
      </c>
      <c r="P74" s="51">
        <f t="shared" si="7"/>
        <v>0.11827843892571518</v>
      </c>
      <c r="Q74" s="50">
        <f t="shared" si="8"/>
        <v>0.23025216234723248</v>
      </c>
      <c r="R74" s="19">
        <f t="shared" si="12"/>
        <v>5.6199522738144114E-3</v>
      </c>
      <c r="S74" s="141">
        <f t="shared" si="2"/>
        <v>18.805352112676058</v>
      </c>
      <c r="T74" s="19">
        <f t="shared" si="13"/>
        <v>1.5044281690140846</v>
      </c>
      <c r="U74" s="12">
        <f t="shared" si="16"/>
        <v>93.865322816901411</v>
      </c>
      <c r="V74" s="53">
        <f t="shared" si="14"/>
        <v>704.27162977867204</v>
      </c>
      <c r="W74" s="19">
        <f t="shared" si="9"/>
        <v>93.246429109558321</v>
      </c>
      <c r="X74" s="12"/>
      <c r="Z74" s="54">
        <f t="shared" si="10"/>
        <v>6.7535708904416847E-2</v>
      </c>
      <c r="AA74">
        <f t="shared" si="11"/>
        <v>0.27987601532570178</v>
      </c>
    </row>
    <row r="75" spans="1:27" x14ac:dyDescent="0.25">
      <c r="A75" s="41">
        <v>63</v>
      </c>
      <c r="B75" s="42">
        <v>39506</v>
      </c>
      <c r="D75" s="145">
        <v>630</v>
      </c>
      <c r="E75" s="32">
        <f t="shared" si="17"/>
        <v>30</v>
      </c>
      <c r="F75" s="125">
        <f>+'[1]Con 5hE'!E76</f>
        <v>0.40643863179074446</v>
      </c>
      <c r="G75" s="47">
        <f t="shared" si="0"/>
        <v>12.193158953722333</v>
      </c>
      <c r="H75" s="47">
        <f>+F75/G83</f>
        <v>5.3813140529553266E-4</v>
      </c>
      <c r="I75" s="48">
        <f>+G75/G83</f>
        <v>1.6143942158865981E-2</v>
      </c>
      <c r="J75" s="49">
        <f t="shared" si="1"/>
        <v>10.170683560085568</v>
      </c>
      <c r="K75" s="45">
        <f t="shared" si="15"/>
        <v>0.53813140529553272</v>
      </c>
      <c r="L75" s="51">
        <f t="shared" si="3"/>
        <v>2.0396270396270397</v>
      </c>
      <c r="M75" s="51">
        <f t="shared" si="4"/>
        <v>0.16774190333914341</v>
      </c>
      <c r="N75" s="51">
        <f t="shared" si="5"/>
        <v>0.1550288771341872</v>
      </c>
      <c r="O75" s="51">
        <f t="shared" si="6"/>
        <v>0.19139365396177302</v>
      </c>
      <c r="P75" s="51">
        <f t="shared" si="7"/>
        <v>9.5127034147783673E-2</v>
      </c>
      <c r="Q75" s="50">
        <f t="shared" si="8"/>
        <v>0.19291207101156574</v>
      </c>
      <c r="R75" s="19">
        <f t="shared" si="12"/>
        <v>6.3353734065785434E-4</v>
      </c>
      <c r="S75" s="141">
        <f t="shared" si="2"/>
        <v>20.313802816901408</v>
      </c>
      <c r="T75" s="19">
        <f t="shared" si="13"/>
        <v>1.6251042253521124</v>
      </c>
      <c r="U75" s="12">
        <f t="shared" si="16"/>
        <v>95.490427042253529</v>
      </c>
      <c r="V75" s="53">
        <f t="shared" si="14"/>
        <v>716.46478873239437</v>
      </c>
      <c r="W75" s="19">
        <f t="shared" si="9"/>
        <v>94.860818336563185</v>
      </c>
      <c r="X75" s="12"/>
      <c r="Z75" s="54">
        <f t="shared" si="10"/>
        <v>5.1391816634368204E-2</v>
      </c>
      <c r="AA75">
        <f t="shared" si="11"/>
        <v>0.25036663358691341</v>
      </c>
    </row>
    <row r="76" spans="1:27" x14ac:dyDescent="0.25">
      <c r="A76" s="41">
        <v>64</v>
      </c>
      <c r="B76" s="42">
        <v>39506</v>
      </c>
      <c r="D76" s="145">
        <v>660</v>
      </c>
      <c r="E76" s="32">
        <f t="shared" si="17"/>
        <v>30</v>
      </c>
      <c r="F76" s="125">
        <f>+'[1]Con 5hE'!E77</f>
        <v>0.33601609657947684</v>
      </c>
      <c r="G76" s="47">
        <f>+F76*E76</f>
        <v>10.080482897384305</v>
      </c>
      <c r="H76" s="47">
        <f>+F76/G83</f>
        <v>4.4489081526907895E-4</v>
      </c>
      <c r="I76" s="48">
        <f>+G76/G83</f>
        <v>1.3346724458072369E-2</v>
      </c>
      <c r="J76" s="49">
        <f>+D76*I76</f>
        <v>8.8088381423277635</v>
      </c>
      <c r="K76" s="45">
        <f t="shared" si="15"/>
        <v>0.44489081526907898</v>
      </c>
      <c r="L76" s="51">
        <f t="shared" si="3"/>
        <v>2.1367521367521367</v>
      </c>
      <c r="M76" s="51">
        <f t="shared" si="4"/>
        <v>0.13867771216651953</v>
      </c>
      <c r="N76" s="51">
        <f t="shared" si="5"/>
        <v>0.11714515936880934</v>
      </c>
      <c r="O76" s="51">
        <f t="shared" si="6"/>
        <v>0.15491346914286108</v>
      </c>
      <c r="P76" s="51">
        <f t="shared" si="7"/>
        <v>7.6428123762542877E-2</v>
      </c>
      <c r="Q76" s="50">
        <f t="shared" si="8"/>
        <v>0.16102268026728708</v>
      </c>
      <c r="R76" s="19">
        <f t="shared" si="12"/>
        <v>4.9929759942431953E-4</v>
      </c>
      <c r="S76" s="141">
        <f t="shared" ref="S76:S80" si="18">1666/1000*F76*E76</f>
        <v>16.794084507042253</v>
      </c>
      <c r="T76" s="19">
        <f t="shared" si="13"/>
        <v>1.3435267605633803</v>
      </c>
      <c r="U76" s="12">
        <f t="shared" si="16"/>
        <v>96.833953802816907</v>
      </c>
      <c r="V76" s="53">
        <f t="shared" si="14"/>
        <v>726.54527162977865</v>
      </c>
      <c r="W76" s="19">
        <f t="shared" si="9"/>
        <v>96.195486657898883</v>
      </c>
      <c r="Z76" s="54">
        <f t="shared" si="10"/>
        <v>3.8045133421011124E-2</v>
      </c>
      <c r="AA76">
        <f t="shared" si="11"/>
        <v>0.2239686424744072</v>
      </c>
    </row>
    <row r="77" spans="1:27" x14ac:dyDescent="0.25">
      <c r="A77" s="41">
        <v>65</v>
      </c>
      <c r="B77" s="42">
        <v>39506</v>
      </c>
      <c r="D77" s="151">
        <v>720</v>
      </c>
      <c r="E77" s="32">
        <f>+D77-D76</f>
        <v>60</v>
      </c>
      <c r="F77" s="45">
        <f>+'[1]Con 5hE'!E78</f>
        <v>0.20523138832997989</v>
      </c>
      <c r="G77" s="47">
        <f>+F77*E77</f>
        <v>12.313883299798793</v>
      </c>
      <c r="H77" s="47">
        <f>+F77/G83</f>
        <v>2.7172971950566502E-4</v>
      </c>
      <c r="I77" s="48">
        <f>+G77/G83</f>
        <v>1.6303783170339901E-2</v>
      </c>
      <c r="J77" s="49">
        <f>+D77*I77</f>
        <v>11.738723882644729</v>
      </c>
      <c r="K77" s="45">
        <f t="shared" si="15"/>
        <v>0.27172971950566505</v>
      </c>
      <c r="L77" s="51">
        <f>+D77/(5.148*60)</f>
        <v>2.3310023310023311</v>
      </c>
      <c r="M77" s="51">
        <f>+F77/2.423</f>
        <v>8.4701357131646671E-2</v>
      </c>
      <c r="N77" s="51">
        <f>+(1/(2*SQRT(3.1416*0.1886))*EXP(-((1-L77)^2/(4*0.1886))))</f>
        <v>6.2053232320065044E-2</v>
      </c>
      <c r="O77" s="51">
        <f>+(1/(2*SQRT(3.1416*0.2499))*EXP(-((1-L77)^2/(4*0.2499))))</f>
        <v>9.5900681792225634E-2</v>
      </c>
      <c r="P77" s="51">
        <f>+(1/(2*SQRT(3.1416*L77^3*0.1255))*EXP(-((1-L77)^2/(4*L77*0.1255))))</f>
        <v>4.923330571332276E-2</v>
      </c>
      <c r="Q77" s="50">
        <f>+(2.6513*(2.6513*L77)^(2.6513-1)/FACT(2.6513-1))*EXP(-2.6513*L77)</f>
        <v>0.11107565804067181</v>
      </c>
      <c r="R77" s="19">
        <f t="shared" si="12"/>
        <v>6.956037484398041E-4</v>
      </c>
      <c r="S77" s="141">
        <f t="shared" si="18"/>
        <v>20.514929577464788</v>
      </c>
      <c r="T77" s="19">
        <f t="shared" si="13"/>
        <v>1.6411943661971831</v>
      </c>
      <c r="U77" s="12">
        <f t="shared" si="16"/>
        <v>98.475148169014091</v>
      </c>
      <c r="V77" s="53">
        <f t="shared" si="14"/>
        <v>738.85915492957747</v>
      </c>
      <c r="W77" s="19">
        <f>+V77/755.28*100</f>
        <v>97.825859936656272</v>
      </c>
      <c r="X77" s="68">
        <f>+((([1]Resumen!O8-F76)*(D77-D76))/(F77-F76))+D76</f>
        <v>683.81538461538457</v>
      </c>
      <c r="Y77" s="69" t="s">
        <v>80</v>
      </c>
      <c r="Z77" s="54">
        <f>1-W77/100</f>
        <v>2.1741400633437324E-2</v>
      </c>
      <c r="AA77">
        <f>2.243*EXP(-(1/0.8717)*(L77-(1-0.8717)))</f>
        <v>0.17922919458980274</v>
      </c>
    </row>
    <row r="78" spans="1:27" x14ac:dyDescent="0.25">
      <c r="A78" s="41">
        <v>66</v>
      </c>
      <c r="B78" s="42">
        <v>39506</v>
      </c>
      <c r="D78" s="145">
        <v>780</v>
      </c>
      <c r="E78" s="32">
        <f t="shared" si="17"/>
        <v>60</v>
      </c>
      <c r="F78" s="45">
        <f>+'[1]Con 5hE'!E79</f>
        <v>0.13480885311871227</v>
      </c>
      <c r="G78" s="47">
        <f>+F78*E78</f>
        <v>8.0885311871227366</v>
      </c>
      <c r="H78" s="47">
        <f>+F78/G83</f>
        <v>1.7848912947921133E-4</v>
      </c>
      <c r="I78" s="48">
        <f>+G78/G83</f>
        <v>1.0709347768752681E-2</v>
      </c>
      <c r="J78" s="49">
        <f>+D78*I78</f>
        <v>8.3532912596270901</v>
      </c>
      <c r="K78" s="45">
        <f t="shared" si="15"/>
        <v>0.17848912947921133</v>
      </c>
      <c r="L78" s="51">
        <f>+D78/(5.148*60)</f>
        <v>2.5252525252525251</v>
      </c>
      <c r="M78" s="51">
        <f>+F78/2.423</f>
        <v>5.5637165959022808E-2</v>
      </c>
      <c r="N78" s="51">
        <f>+(1/(2*SQRT(3.1416*0.1886))*EXP(-((1-L78)^2/(4*0.1886))))</f>
        <v>2.9741296380810803E-2</v>
      </c>
      <c r="O78" s="51">
        <f>+(1/(2*SQRT(3.1416*0.2499))*EXP(-((1-L78)^2/(4*0.2499))))</f>
        <v>5.5051164177537026E-2</v>
      </c>
      <c r="P78" s="51">
        <f>+(1/(2*SQRT(3.1416*L78^3*0.1255))*EXP(-((1-L78)^2/(4*L78*0.1255))))</f>
        <v>3.1667494730086912E-2</v>
      </c>
      <c r="Q78" s="50">
        <f>+(2.6513*(2.6513*L78)^(2.6513-1)/FACT(2.6513-1))*EXP(-2.6513*L78)</f>
        <v>7.5744857648870206E-2</v>
      </c>
      <c r="R78" s="19">
        <f>+(Q78-M78)^2</f>
        <v>4.0431926509395811E-4</v>
      </c>
      <c r="S78" s="141">
        <f t="shared" si="18"/>
        <v>13.475492957746479</v>
      </c>
      <c r="T78" s="19">
        <f>+S78/(5000*0.25)*100</f>
        <v>1.0780394366197181</v>
      </c>
      <c r="U78" s="12">
        <f t="shared" si="16"/>
        <v>99.553187605633809</v>
      </c>
      <c r="V78" s="53">
        <f>+V77+G78</f>
        <v>746.9476861167002</v>
      </c>
      <c r="W78" s="19">
        <f>+V78/755.28*100</f>
        <v>98.89679140407533</v>
      </c>
      <c r="X78" s="12"/>
      <c r="Z78" s="54">
        <f>1-W78/100</f>
        <v>1.1032085959246651E-2</v>
      </c>
      <c r="AA78">
        <f>2.243*EXP(-(1/0.8717)*(L78-(1-0.8717)))</f>
        <v>0.14342679331540836</v>
      </c>
    </row>
    <row r="79" spans="1:27" x14ac:dyDescent="0.25">
      <c r="A79" s="41">
        <v>67</v>
      </c>
      <c r="B79" s="42">
        <v>39506</v>
      </c>
      <c r="D79" s="145">
        <v>840</v>
      </c>
      <c r="E79" s="32">
        <f t="shared" si="17"/>
        <v>60</v>
      </c>
      <c r="F79" s="45">
        <f>+'[1]Con 5hE'!E80</f>
        <v>8.4507042253521125E-2</v>
      </c>
      <c r="G79" s="47">
        <f>+F79*E79</f>
        <v>5.070422535211268</v>
      </c>
      <c r="H79" s="47">
        <f>+F79/G83</f>
        <v>1.1188870803174442E-4</v>
      </c>
      <c r="I79" s="48">
        <f>+G79/G83</f>
        <v>6.7133224819046653E-3</v>
      </c>
      <c r="J79" s="49">
        <f>+D79*I79</f>
        <v>5.6391908847999188</v>
      </c>
      <c r="K79" s="45">
        <f>+H79*1000</f>
        <v>0.11188870803174443</v>
      </c>
      <c r="L79" s="51">
        <f>+D79/(5.148*60)</f>
        <v>2.7195027195027195</v>
      </c>
      <c r="M79" s="51">
        <f>+F79/2.423</f>
        <v>3.4877029407148624E-2</v>
      </c>
      <c r="N79" s="51">
        <f>+(1/(2*SQRT(3.1416*0.1886))*EXP(-((1-L79)^2/(4*0.1886))))</f>
        <v>1.2897656502633323E-2</v>
      </c>
      <c r="O79" s="51">
        <f>+(1/(2*SQRT(3.1416*0.2499))*EXP(-((1-L79)^2/(4*0.2499))))</f>
        <v>2.9303778166559599E-2</v>
      </c>
      <c r="P79" s="51">
        <f>+(1/(2*SQRT(3.1416*L79^3*0.1255))*EXP(-((1-L79)^2/(4*L79*0.1255))))</f>
        <v>2.0358983415052306E-2</v>
      </c>
      <c r="Q79" s="50">
        <f>+(2.6513*(2.6513*L79)^(2.6513-1)/FACT(2.6513-1))*EXP(-2.6513*L79)</f>
        <v>5.1148313012120881E-2</v>
      </c>
      <c r="R79" s="19">
        <f>+(Q79-M79)^2</f>
        <v>2.64754670153439E-4</v>
      </c>
      <c r="S79" s="141">
        <f t="shared" si="18"/>
        <v>8.4473239436619707</v>
      </c>
      <c r="T79" s="19">
        <f>+S79/(5000*0.25)*100</f>
        <v>0.67578591549295763</v>
      </c>
      <c r="U79" s="12">
        <f>+U78+T79</f>
        <v>100.22897352112676</v>
      </c>
      <c r="V79" s="53">
        <f>+V78+G79</f>
        <v>752.01810865191146</v>
      </c>
      <c r="W79" s="19">
        <f>+V79/755.28*100</f>
        <v>99.568121577681325</v>
      </c>
      <c r="X79" s="12"/>
      <c r="Z79" s="54">
        <f>1-W79/100</f>
        <v>4.3187842231867668E-3</v>
      </c>
      <c r="AA79">
        <f>2.243*EXP(-(1/0.8717)*(L79-(1-0.8717)))</f>
        <v>0.11477619529464349</v>
      </c>
    </row>
    <row r="80" spans="1:27" x14ac:dyDescent="0.25">
      <c r="A80" s="41">
        <v>68</v>
      </c>
      <c r="B80" s="42">
        <v>39506</v>
      </c>
      <c r="D80" s="145">
        <v>900</v>
      </c>
      <c r="E80" s="32">
        <f t="shared" si="17"/>
        <v>60</v>
      </c>
      <c r="F80" s="45">
        <f>+'[1]Con 5hE'!E81</f>
        <v>5.4325955734406441E-2</v>
      </c>
      <c r="G80" s="47">
        <f>+F80*E80</f>
        <v>3.2595573440643864</v>
      </c>
      <c r="H80" s="47">
        <f>+F80/G83</f>
        <v>7.1928455163264277E-5</v>
      </c>
      <c r="I80" s="48">
        <f>+G80/G83</f>
        <v>4.3157073097958559E-3</v>
      </c>
      <c r="J80" s="49">
        <f>+D80*I80</f>
        <v>3.8841365788162703</v>
      </c>
      <c r="K80" s="45">
        <f>+H80*1000</f>
        <v>7.1928455163264279E-2</v>
      </c>
      <c r="L80" s="51">
        <f>+D80/(5.148*60)</f>
        <v>2.9137529137529139</v>
      </c>
      <c r="M80" s="51">
        <f>+F80/2.423</f>
        <v>2.242094747602412E-2</v>
      </c>
      <c r="N80" s="51">
        <f>+(1/(2*SQRT(3.1416*0.1886))*EXP(-((1-L80)^2/(4*0.1886))))</f>
        <v>5.0607763278354241E-3</v>
      </c>
      <c r="O80" s="51">
        <f>+(1/(2*SQRT(3.1416*0.2499))*EXP(-((1-L80)^2/(4*0.2499))))</f>
        <v>1.446415363730685E-2</v>
      </c>
      <c r="P80" s="51">
        <f>+(1/(2*SQRT(3.1416*L80^3*0.1255))*EXP(-((1-L80)^2/(4*L80*0.1255))))</f>
        <v>1.3090851310595675E-2</v>
      </c>
      <c r="Q80" s="50">
        <f>+(2.6513*(2.6513*L80)^(2.6513-1)/FACT(2.6513-1))*EXP(-2.6513*L80)</f>
        <v>3.4248470245109949E-2</v>
      </c>
      <c r="R80" s="19">
        <f>+(Q80-M80)^2</f>
        <v>1.3989029485324373E-4</v>
      </c>
      <c r="S80" s="141">
        <f t="shared" si="18"/>
        <v>5.4304225352112674</v>
      </c>
      <c r="T80" s="19">
        <f>+S80/(5000*0.25)*100</f>
        <v>0.43443380281690136</v>
      </c>
      <c r="U80" s="12">
        <f>+U79+T80</f>
        <v>100.66340732394366</v>
      </c>
      <c r="V80" s="53">
        <f>+V79+G80</f>
        <v>755.27766599597589</v>
      </c>
      <c r="W80" s="19">
        <f>+V80/755.28*100</f>
        <v>99.999690974999453</v>
      </c>
      <c r="X80" s="12"/>
      <c r="Z80" s="54">
        <f>1-W80/100</f>
        <v>3.0902500054441617E-6</v>
      </c>
      <c r="AA80">
        <f>2.243*EXP(-(1/0.8717)*(L80-(1-0.8717)))</f>
        <v>9.1848773174090778E-2</v>
      </c>
    </row>
    <row r="81" spans="6:24" x14ac:dyDescent="0.25">
      <c r="F81" s="84">
        <f>+MAX(F12:F80)</f>
        <v>2.8410462776659959</v>
      </c>
      <c r="M81" s="15">
        <f>+MAX(M12:M80)</f>
        <v>1.1725325124498538</v>
      </c>
      <c r="R81" s="15">
        <f>SUM(R12:R80)</f>
        <v>5.0684351650308717</v>
      </c>
      <c r="S81" s="3">
        <f>SUM(S12:S80)</f>
        <v>1258.2925915492951</v>
      </c>
      <c r="T81" s="3"/>
      <c r="U81" s="3"/>
      <c r="V81" s="53"/>
      <c r="W81" s="19"/>
      <c r="X81" s="12"/>
    </row>
    <row r="82" spans="6:24" x14ac:dyDescent="0.25">
      <c r="F82">
        <f>1.25/F81</f>
        <v>0.43997875354107652</v>
      </c>
      <c r="M82" s="19"/>
      <c r="N82" s="19">
        <f>+CORREL(M12:M80,N12:N80)</f>
        <v>0.58943714575751516</v>
      </c>
      <c r="O82" s="19">
        <f>+CORREL(M12:M80,O12:O80)</f>
        <v>0.59725703894932825</v>
      </c>
      <c r="P82" s="19">
        <f>+CORREL(M13:M80,P13:P80)</f>
        <v>0.6635527534942085</v>
      </c>
      <c r="S82" s="53">
        <f>+S81/(5000*0.25)*100</f>
        <v>100.66340732394362</v>
      </c>
      <c r="T82" s="53"/>
      <c r="U82" s="53"/>
      <c r="V82" s="53"/>
      <c r="W82" s="19"/>
      <c r="X82" s="12"/>
    </row>
    <row r="83" spans="6:24" x14ac:dyDescent="0.25">
      <c r="F83" t="s">
        <v>64</v>
      </c>
      <c r="G83" s="54">
        <f>SUM(G12:G80)</f>
        <v>755.27766599597589</v>
      </c>
      <c r="I83" s="138" t="s">
        <v>83</v>
      </c>
      <c r="J83" s="9">
        <f>SUM(J12:J80)</f>
        <v>289.87476723152702</v>
      </c>
      <c r="M83" s="19"/>
      <c r="N83" s="19"/>
      <c r="O83" s="19"/>
      <c r="P83" s="19" t="s">
        <v>137</v>
      </c>
      <c r="V83" s="53"/>
      <c r="W83" s="19"/>
      <c r="X83" s="53"/>
    </row>
    <row r="84" spans="6:24" x14ac:dyDescent="0.25">
      <c r="M84" s="19"/>
      <c r="N84" s="19"/>
      <c r="O84" s="19"/>
      <c r="P84" s="19" t="s">
        <v>82</v>
      </c>
      <c r="V84" s="53"/>
      <c r="W84" s="19"/>
    </row>
    <row r="85" spans="6:24" x14ac:dyDescent="0.25">
      <c r="H85" s="152" t="s">
        <v>84</v>
      </c>
      <c r="I85" s="152"/>
      <c r="J85" s="153">
        <f>+J83/60</f>
        <v>4.8312461205254502</v>
      </c>
      <c r="M85" s="3" t="s">
        <v>127</v>
      </c>
      <c r="N85" s="15">
        <f>+N82^2</f>
        <v>0.34743614879876616</v>
      </c>
      <c r="O85" s="15">
        <f>+O82^2</f>
        <v>0.35671597057451937</v>
      </c>
      <c r="P85" s="15">
        <f>+P82^2</f>
        <v>0.44030225666974582</v>
      </c>
      <c r="V85" s="53"/>
      <c r="W85" s="19"/>
    </row>
    <row r="86" spans="6:24" x14ac:dyDescent="0.25">
      <c r="H86" t="s">
        <v>85</v>
      </c>
      <c r="J86" s="54">
        <f>+J85/L104</f>
        <v>0.93849189333321636</v>
      </c>
      <c r="M86" s="3" t="s">
        <v>128</v>
      </c>
      <c r="N86" s="15">
        <f>1-((1-N85)*(78-1)/(78-2))</f>
        <v>0.33884978233559204</v>
      </c>
      <c r="O86" s="15">
        <f>1-((1-O85)*(78-1)/(78-2))</f>
        <v>0.34825170702944719</v>
      </c>
      <c r="P86" s="15">
        <f>1-((1-P85)*(78-1)/(78-2))</f>
        <v>0.43293781267855835</v>
      </c>
      <c r="V86" s="53"/>
      <c r="W86" s="19"/>
    </row>
    <row r="87" spans="6:24" x14ac:dyDescent="0.25">
      <c r="M87" s="3"/>
      <c r="N87" s="19"/>
      <c r="O87" s="19"/>
      <c r="P87" s="19"/>
      <c r="V87" s="53"/>
      <c r="W87" s="19"/>
    </row>
    <row r="88" spans="6:24" x14ac:dyDescent="0.25">
      <c r="V88" s="53"/>
      <c r="W88" s="19"/>
    </row>
    <row r="89" spans="6:24" x14ac:dyDescent="0.25">
      <c r="V89" s="3"/>
      <c r="W89" s="3"/>
    </row>
    <row r="90" spans="6:24" x14ac:dyDescent="0.25">
      <c r="I90" t="s">
        <v>138</v>
      </c>
      <c r="N90" s="3"/>
      <c r="O90" s="3"/>
      <c r="P90" s="3"/>
      <c r="Q90" s="3"/>
      <c r="R90" s="3"/>
      <c r="V90" s="3"/>
      <c r="W90" s="3"/>
    </row>
    <row r="92" spans="6:24" x14ac:dyDescent="0.25">
      <c r="I92" t="s">
        <v>86</v>
      </c>
      <c r="J92" t="s">
        <v>87</v>
      </c>
      <c r="K92" t="s">
        <v>18</v>
      </c>
      <c r="L92" s="3" t="s">
        <v>19</v>
      </c>
      <c r="M92" s="3" t="s">
        <v>90</v>
      </c>
    </row>
    <row r="93" spans="6:24" x14ac:dyDescent="0.25">
      <c r="I93" s="92">
        <v>0.28125</v>
      </c>
      <c r="J93">
        <v>0</v>
      </c>
      <c r="K93">
        <v>1680</v>
      </c>
      <c r="M93" t="s">
        <v>139</v>
      </c>
    </row>
    <row r="94" spans="6:24" x14ac:dyDescent="0.25">
      <c r="I94" s="92">
        <v>0.46875</v>
      </c>
      <c r="J94">
        <v>270</v>
      </c>
      <c r="K94">
        <v>1680</v>
      </c>
    </row>
    <row r="95" spans="6:24" x14ac:dyDescent="0.25">
      <c r="I95" s="92">
        <v>0.57291666666666663</v>
      </c>
      <c r="J95">
        <v>420</v>
      </c>
      <c r="K95">
        <v>1670</v>
      </c>
    </row>
    <row r="96" spans="6:24" x14ac:dyDescent="0.25">
      <c r="I96" s="92">
        <v>0.15625</v>
      </c>
      <c r="J96">
        <v>540</v>
      </c>
      <c r="K96">
        <v>1650</v>
      </c>
    </row>
    <row r="97" spans="7:13" x14ac:dyDescent="0.25">
      <c r="I97" s="92">
        <v>0.17708333333333334</v>
      </c>
      <c r="J97">
        <v>570</v>
      </c>
      <c r="K97">
        <v>1640</v>
      </c>
      <c r="L97">
        <v>1680</v>
      </c>
    </row>
    <row r="98" spans="7:13" x14ac:dyDescent="0.25">
      <c r="I98" s="92">
        <v>0.21875</v>
      </c>
      <c r="J98">
        <v>630</v>
      </c>
      <c r="K98">
        <v>1660</v>
      </c>
    </row>
    <row r="99" spans="7:13" x14ac:dyDescent="0.25">
      <c r="I99" s="92">
        <v>0.32291666666666669</v>
      </c>
      <c r="J99">
        <v>780</v>
      </c>
      <c r="K99">
        <v>1660</v>
      </c>
    </row>
    <row r="100" spans="7:13" x14ac:dyDescent="0.25">
      <c r="I100" s="92">
        <v>0.36458333333333331</v>
      </c>
      <c r="J100">
        <v>840</v>
      </c>
      <c r="K100">
        <v>1650</v>
      </c>
      <c r="L100">
        <v>1660</v>
      </c>
    </row>
    <row r="101" spans="7:13" x14ac:dyDescent="0.25">
      <c r="J101" s="3" t="s">
        <v>92</v>
      </c>
      <c r="K101" s="4">
        <f>SUM(K93:K100)/8</f>
        <v>1661.25</v>
      </c>
      <c r="L101">
        <f>SUM(L93:L100)/2</f>
        <v>1670</v>
      </c>
    </row>
    <row r="103" spans="7:13" x14ac:dyDescent="0.25">
      <c r="J103" s="3" t="s">
        <v>93</v>
      </c>
      <c r="L103" s="9">
        <f>+L101</f>
        <v>1670</v>
      </c>
    </row>
    <row r="104" spans="7:13" x14ac:dyDescent="0.25">
      <c r="J104" s="93" t="s">
        <v>94</v>
      </c>
      <c r="K104" s="93"/>
      <c r="L104" s="95">
        <f>+(I2*1000/L103)/60</f>
        <v>5.1478826347305393</v>
      </c>
      <c r="M104" t="s">
        <v>95</v>
      </c>
    </row>
    <row r="112" spans="7:13" x14ac:dyDescent="0.25">
      <c r="G112">
        <f>0.508*0.8</f>
        <v>0.40640000000000004</v>
      </c>
    </row>
  </sheetData>
  <mergeCells count="1">
    <mergeCell ref="N9:O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22"/>
  <sheetViews>
    <sheetView workbookViewId="0">
      <selection activeCell="J6" sqref="J6"/>
    </sheetView>
  </sheetViews>
  <sheetFormatPr baseColWidth="10" defaultRowHeight="15" x14ac:dyDescent="0.25"/>
  <cols>
    <col min="4" max="4" width="6.7109375" customWidth="1"/>
    <col min="14" max="14" width="12.28515625" bestFit="1" customWidth="1"/>
    <col min="15" max="15" width="11.42578125" style="8"/>
    <col min="16" max="16" width="12.7109375" customWidth="1"/>
    <col min="21" max="23" width="8.42578125" customWidth="1"/>
    <col min="24" max="25" width="8.140625" customWidth="1"/>
    <col min="26" max="26" width="8.42578125" customWidth="1"/>
  </cols>
  <sheetData>
    <row r="1" spans="1:28" x14ac:dyDescent="0.25">
      <c r="A1" t="s">
        <v>20</v>
      </c>
    </row>
    <row r="2" spans="1:28" x14ac:dyDescent="0.25">
      <c r="A2" t="s">
        <v>108</v>
      </c>
      <c r="F2" s="3" t="s">
        <v>98</v>
      </c>
      <c r="I2" s="5">
        <f>(1.184*0.884*0.515)*1000-23.21</f>
        <v>515.81784000000005</v>
      </c>
    </row>
    <row r="3" spans="1:28" x14ac:dyDescent="0.25">
      <c r="A3" s="13" t="s">
        <v>23</v>
      </c>
      <c r="F3" t="s">
        <v>24</v>
      </c>
      <c r="N3">
        <f>+SQRT(9)</f>
        <v>3</v>
      </c>
    </row>
    <row r="4" spans="1:28" x14ac:dyDescent="0.25">
      <c r="A4" t="s">
        <v>109</v>
      </c>
      <c r="F4" t="s">
        <v>26</v>
      </c>
      <c r="L4">
        <f>8.204*60</f>
        <v>492.24</v>
      </c>
    </row>
    <row r="5" spans="1:28" x14ac:dyDescent="0.25">
      <c r="A5" s="3" t="s">
        <v>27</v>
      </c>
      <c r="F5" s="3" t="s">
        <v>28</v>
      </c>
      <c r="J5" s="15">
        <f>+(250*5000)/(I2*1000)</f>
        <v>2.4233361141599907</v>
      </c>
    </row>
    <row r="6" spans="1:28" x14ac:dyDescent="0.25">
      <c r="A6" s="3" t="s">
        <v>30</v>
      </c>
      <c r="C6" s="15">
        <f>+L122</f>
        <v>8.2071255369928409</v>
      </c>
      <c r="D6">
        <f>+C6*60</f>
        <v>492.42753221957048</v>
      </c>
      <c r="F6" s="3" t="s">
        <v>110</v>
      </c>
      <c r="J6" s="5">
        <f>+L121</f>
        <v>1047.5</v>
      </c>
    </row>
    <row r="8" spans="1:28" x14ac:dyDescent="0.25">
      <c r="A8" s="21" t="s">
        <v>32</v>
      </c>
      <c r="B8" s="22"/>
      <c r="C8" s="22"/>
      <c r="D8" s="22"/>
      <c r="E8" s="22"/>
      <c r="F8" s="96"/>
      <c r="G8" s="23" t="s">
        <v>33</v>
      </c>
      <c r="H8" s="24" t="s">
        <v>34</v>
      </c>
      <c r="I8" s="22"/>
      <c r="J8" s="22"/>
      <c r="K8" s="24" t="s">
        <v>34</v>
      </c>
      <c r="L8" s="117" t="s">
        <v>111</v>
      </c>
      <c r="M8" s="117" t="s">
        <v>112</v>
      </c>
      <c r="N8" s="167" t="s">
        <v>101</v>
      </c>
      <c r="O8" s="168"/>
      <c r="P8" s="27" t="s">
        <v>37</v>
      </c>
      <c r="Q8" s="28" t="s">
        <v>38</v>
      </c>
      <c r="R8" s="169" t="s">
        <v>113</v>
      </c>
      <c r="S8" s="170"/>
      <c r="T8" s="118"/>
      <c r="U8" s="32" t="s">
        <v>39</v>
      </c>
      <c r="V8" s="30" t="s">
        <v>40</v>
      </c>
      <c r="W8" s="30" t="s">
        <v>41</v>
      </c>
      <c r="Z8" s="30"/>
    </row>
    <row r="9" spans="1:28" x14ac:dyDescent="0.25">
      <c r="A9" s="31"/>
      <c r="B9" s="32" t="s">
        <v>42</v>
      </c>
      <c r="C9" s="32" t="s">
        <v>43</v>
      </c>
      <c r="D9" s="32" t="s">
        <v>44</v>
      </c>
      <c r="E9" s="32" t="s">
        <v>45</v>
      </c>
      <c r="F9" s="33" t="s">
        <v>46</v>
      </c>
      <c r="G9" s="32" t="s">
        <v>47</v>
      </c>
      <c r="H9" s="32" t="s">
        <v>48</v>
      </c>
      <c r="I9" s="32" t="s">
        <v>49</v>
      </c>
      <c r="J9" s="32" t="s">
        <v>50</v>
      </c>
      <c r="K9" s="32" t="s">
        <v>51</v>
      </c>
      <c r="L9" s="119" t="s">
        <v>68</v>
      </c>
      <c r="M9" s="119" t="s">
        <v>61</v>
      </c>
      <c r="N9" s="28" t="s">
        <v>54</v>
      </c>
      <c r="O9" s="35" t="s">
        <v>104</v>
      </c>
      <c r="P9" s="27" t="s">
        <v>105</v>
      </c>
      <c r="Q9" s="28" t="s">
        <v>57</v>
      </c>
      <c r="R9" s="117" t="s">
        <v>111</v>
      </c>
      <c r="S9" s="28" t="s">
        <v>114</v>
      </c>
      <c r="T9" s="30" t="s">
        <v>115</v>
      </c>
      <c r="X9" t="s">
        <v>58</v>
      </c>
      <c r="Y9" t="s">
        <v>59</v>
      </c>
      <c r="AB9" t="s">
        <v>60</v>
      </c>
    </row>
    <row r="10" spans="1:28" x14ac:dyDescent="0.25">
      <c r="A10" s="36"/>
      <c r="B10" s="37"/>
      <c r="C10" s="37"/>
      <c r="D10" s="37"/>
      <c r="E10" s="37"/>
      <c r="F10" s="38" t="s">
        <v>63</v>
      </c>
      <c r="G10" s="37" t="s">
        <v>64</v>
      </c>
      <c r="H10" s="37" t="s">
        <v>65</v>
      </c>
      <c r="I10" s="37" t="s">
        <v>66</v>
      </c>
      <c r="J10" s="37" t="s">
        <v>67</v>
      </c>
      <c r="K10" s="37" t="s">
        <v>65</v>
      </c>
      <c r="L10" s="120"/>
      <c r="M10" s="120"/>
      <c r="N10" s="38"/>
      <c r="O10" s="39"/>
      <c r="P10" s="40"/>
      <c r="Q10" s="38"/>
      <c r="R10" s="121" t="s">
        <v>116</v>
      </c>
      <c r="S10" s="122"/>
      <c r="T10" s="123"/>
      <c r="U10" s="3"/>
      <c r="V10" s="3"/>
      <c r="W10" s="3"/>
      <c r="Z10" s="3"/>
      <c r="AB10" s="20" t="s">
        <v>69</v>
      </c>
    </row>
    <row r="11" spans="1:28" x14ac:dyDescent="0.25">
      <c r="A11" s="41">
        <v>0</v>
      </c>
      <c r="B11" s="42">
        <v>39601</v>
      </c>
      <c r="C11" s="43">
        <v>0.30208333333333331</v>
      </c>
      <c r="D11" s="44">
        <v>0</v>
      </c>
      <c r="E11" s="41">
        <v>0</v>
      </c>
      <c r="F11" s="45">
        <f>+'[1]Con 8hE'!E13</f>
        <v>0</v>
      </c>
      <c r="G11" s="46">
        <f t="shared" ref="G11:G74" si="0">+F11*E11</f>
        <v>0</v>
      </c>
      <c r="H11" s="47">
        <f>+F11/G86</f>
        <v>0</v>
      </c>
      <c r="I11" s="48">
        <f>+G11/G86</f>
        <v>0</v>
      </c>
      <c r="J11" s="49">
        <f t="shared" ref="J11:J74" si="1">+D11*I11</f>
        <v>0</v>
      </c>
      <c r="K11" s="45">
        <f>+H11*1000</f>
        <v>0</v>
      </c>
      <c r="L11" s="51">
        <f>+D11/(8.204*60)</f>
        <v>0</v>
      </c>
      <c r="M11" s="51">
        <f>+F11/2.423</f>
        <v>0</v>
      </c>
      <c r="N11" s="51">
        <f>+(1/(2*SQRT(3.1416*0.1377))*EXP(-((1-L11)^2/(4*0.1377))))</f>
        <v>0.1237223437566765</v>
      </c>
      <c r="O11" s="52">
        <f>+(1/(2*SQRT(3.1416*0.1648))*EXP(-((1-L11)^2/(4*0.1618))))</f>
        <v>0.14821084496856385</v>
      </c>
      <c r="P11" s="51" t="e">
        <f>+(1/(2*SQRT(3.1416*L11*0.0988))*EXP(-((1-L11)^2/(4*L11*0.0988))))</f>
        <v>#DIV/0!</v>
      </c>
      <c r="Q11" s="50">
        <f>+(3.6308*(3.6308*L11)^(3.6308-1)/FACT(3.6308-1))*EXP(-3.6308*L11)</f>
        <v>0</v>
      </c>
      <c r="R11" s="51">
        <f>+D11/468.9</f>
        <v>0</v>
      </c>
      <c r="S11" s="51" t="e">
        <f>+((1.25/0.46)*(1/(2*SQRT(3.1416*0.1465*R11^3))*EXP(-((1-R11)^2/(4*R11*0.1465)))))/2.423</f>
        <v>#DIV/0!</v>
      </c>
      <c r="T11" s="12">
        <f>+(Q11-M11)^2</f>
        <v>0</v>
      </c>
      <c r="U11" s="124">
        <f t="shared" ref="U11:U74" si="2">1048/1000*F11*E11</f>
        <v>0</v>
      </c>
      <c r="V11" s="19">
        <f>+U11/(5000*0.25)*100</f>
        <v>0</v>
      </c>
      <c r="W11" s="19">
        <f>+W10+V11</f>
        <v>0</v>
      </c>
      <c r="X11" s="53">
        <f>+G11</f>
        <v>0</v>
      </c>
      <c r="Y11" s="19">
        <f>+X11/1175.7*100</f>
        <v>0</v>
      </c>
      <c r="Z11" s="19"/>
      <c r="AB11" s="54">
        <f>1-Y11/100</f>
        <v>1</v>
      </c>
    </row>
    <row r="12" spans="1:28" x14ac:dyDescent="0.25">
      <c r="A12" s="41">
        <v>1</v>
      </c>
      <c r="B12" s="42">
        <v>39601</v>
      </c>
      <c r="C12" s="43"/>
      <c r="D12" s="55">
        <v>5</v>
      </c>
      <c r="E12" s="56">
        <f>+D12-D11</f>
        <v>5</v>
      </c>
      <c r="F12" s="45">
        <f>+'[1]Con 8hE'!E14</f>
        <v>0</v>
      </c>
      <c r="G12" s="47">
        <f t="shared" si="0"/>
        <v>0</v>
      </c>
      <c r="H12" s="47">
        <f>+F12/G86</f>
        <v>0</v>
      </c>
      <c r="I12" s="48">
        <f>+G12/G86</f>
        <v>0</v>
      </c>
      <c r="J12" s="49">
        <f t="shared" si="1"/>
        <v>0</v>
      </c>
      <c r="K12" s="45">
        <f>+H12*1000</f>
        <v>0</v>
      </c>
      <c r="L12" s="51">
        <f t="shared" ref="L12:L75" si="3">+D12/(8.204*60)</f>
        <v>1.0157646676418008E-2</v>
      </c>
      <c r="M12" s="51">
        <f t="shared" ref="M12:M75" si="4">+F12/2.423</f>
        <v>0</v>
      </c>
      <c r="N12" s="51">
        <f t="shared" ref="N12:N75" si="5">+(1/(2*SQRT(3.1416*0.1377))*EXP(-((1-L12)^2/(4*0.1377))))</f>
        <v>0.12834677967474581</v>
      </c>
      <c r="O12" s="52">
        <f t="shared" ref="O12:O75" si="6">+(1/(2*SQRT(3.1416*0.1648))*EXP(-((1-L12)^2/(4*0.1618))))</f>
        <v>0.15291251800924968</v>
      </c>
      <c r="P12" s="51">
        <f t="shared" ref="P12:P75" si="7">+(1/(2*SQRT(3.1416*L12*0.0988))*EXP(-((1-L12)^2/(4*L12*0.0988))))</f>
        <v>8.9023394662431911E-106</v>
      </c>
      <c r="Q12" s="50">
        <f t="shared" ref="Q12:Q75" si="8">+(3.6308*(3.6308*L12)^(3.6308-1)/FACT(3.6308-1))*EXP(-3.6308*L12)</f>
        <v>2.9681155126001226E-4</v>
      </c>
      <c r="R12" s="51">
        <f t="shared" ref="R12:R75" si="9">+D12/468.9</f>
        <v>1.0663254425250587E-2</v>
      </c>
      <c r="S12" s="51">
        <f>+((1.25/0.46)*(1/(2*SQRT(3.1416*0.1465*R12^3))*EXP(-((1-R12)^2/(4*R12*0.1465)))))/2.423</f>
        <v>7.0441958931438375E-66</v>
      </c>
      <c r="T12" s="12">
        <f>+(Q12-M12)^2</f>
        <v>8.8097096961374893E-8</v>
      </c>
      <c r="U12" s="124">
        <f t="shared" si="2"/>
        <v>0</v>
      </c>
      <c r="V12" s="19">
        <f>+U12/(5000*0.25)*100</f>
        <v>0</v>
      </c>
      <c r="W12" s="12">
        <f>+W11+V12</f>
        <v>0</v>
      </c>
      <c r="X12" s="53">
        <f>+X11+G12</f>
        <v>0</v>
      </c>
      <c r="Y12" s="19">
        <f t="shared" ref="Y12:Y75" si="10">+X12/1175.7*100</f>
        <v>0</v>
      </c>
      <c r="Z12" s="12"/>
      <c r="AB12" s="54">
        <f t="shared" ref="AB12:AB75" si="11">1-Y12/100</f>
        <v>1</v>
      </c>
    </row>
    <row r="13" spans="1:28" x14ac:dyDescent="0.25">
      <c r="A13" s="41">
        <v>2</v>
      </c>
      <c r="B13" s="42">
        <v>39601</v>
      </c>
      <c r="C13" s="43"/>
      <c r="D13" s="55">
        <v>10</v>
      </c>
      <c r="E13" s="56">
        <f t="shared" ref="E13:E76" si="12">+D13-D12</f>
        <v>5</v>
      </c>
      <c r="F13" s="45">
        <f>+'[1]Con 8hE'!E15</f>
        <v>0</v>
      </c>
      <c r="G13" s="57">
        <f t="shared" si="0"/>
        <v>0</v>
      </c>
      <c r="H13" s="57">
        <f>+F13/G86</f>
        <v>0</v>
      </c>
      <c r="I13" s="102">
        <f>+G13/G86</f>
        <v>0</v>
      </c>
      <c r="J13" s="50">
        <f t="shared" si="1"/>
        <v>0</v>
      </c>
      <c r="K13" s="58">
        <f>+H13*1000</f>
        <v>0</v>
      </c>
      <c r="L13" s="51">
        <f t="shared" si="3"/>
        <v>2.0315293352836016E-2</v>
      </c>
      <c r="M13" s="51">
        <f t="shared" si="4"/>
        <v>0</v>
      </c>
      <c r="N13" s="51">
        <f t="shared" si="5"/>
        <v>0.13309419291348809</v>
      </c>
      <c r="O13" s="52">
        <f t="shared" si="6"/>
        <v>0.15771304779023229</v>
      </c>
      <c r="P13" s="51">
        <f t="shared" si="7"/>
        <v>7.6072277477492121E-52</v>
      </c>
      <c r="Q13" s="50">
        <f t="shared" si="8"/>
        <v>1.7717953773124749E-3</v>
      </c>
      <c r="R13" s="51">
        <f t="shared" si="9"/>
        <v>2.1326508850501174E-2</v>
      </c>
      <c r="S13" s="51">
        <f t="shared" ref="S13:S76" si="13">+((1.25/0.46)*(1/(2*SQRT(3.1416*0.1465*R13^3))*EXP(-((1-R13)^2/(4*R13*0.1465)))))/2.423</f>
        <v>1.3783307162220651E-31</v>
      </c>
      <c r="T13" s="12">
        <f t="shared" ref="T13:T76" si="14">+(Q13-M13)^2</f>
        <v>3.1392588590658552E-6</v>
      </c>
      <c r="U13" s="124">
        <f t="shared" si="2"/>
        <v>0</v>
      </c>
      <c r="V13" s="19">
        <f t="shared" ref="V13:V76" si="15">+U13/(5000*0.25)*100</f>
        <v>0</v>
      </c>
      <c r="W13" s="12">
        <f>+W12+V13</f>
        <v>0</v>
      </c>
      <c r="X13" s="53">
        <f t="shared" ref="X13:X76" si="16">+X12+G13</f>
        <v>0</v>
      </c>
      <c r="Y13" s="19">
        <f t="shared" si="10"/>
        <v>0</v>
      </c>
      <c r="Z13" s="12"/>
      <c r="AB13" s="54">
        <f t="shared" si="11"/>
        <v>1</v>
      </c>
    </row>
    <row r="14" spans="1:28" x14ac:dyDescent="0.25">
      <c r="A14" s="41">
        <v>3</v>
      </c>
      <c r="B14" s="42">
        <v>39601</v>
      </c>
      <c r="C14" s="43"/>
      <c r="D14" s="55">
        <v>15</v>
      </c>
      <c r="E14" s="56">
        <f t="shared" si="12"/>
        <v>5</v>
      </c>
      <c r="F14" s="45">
        <f>+'[1]Con 8hE'!E16</f>
        <v>0</v>
      </c>
      <c r="G14" s="47">
        <f t="shared" si="0"/>
        <v>0</v>
      </c>
      <c r="H14" s="47">
        <f>+F14/G86</f>
        <v>0</v>
      </c>
      <c r="I14" s="48">
        <f>+G14/G86</f>
        <v>0</v>
      </c>
      <c r="J14" s="49">
        <f t="shared" si="1"/>
        <v>0</v>
      </c>
      <c r="K14" s="45">
        <f t="shared" ref="K14:K77" si="17">+H14*1000</f>
        <v>0</v>
      </c>
      <c r="L14" s="51">
        <f t="shared" si="3"/>
        <v>3.0472940029254023E-2</v>
      </c>
      <c r="M14" s="51">
        <f t="shared" si="4"/>
        <v>0</v>
      </c>
      <c r="N14" s="51">
        <f t="shared" si="5"/>
        <v>0.13796550995701279</v>
      </c>
      <c r="O14" s="52">
        <f t="shared" si="6"/>
        <v>0.16261242902342166</v>
      </c>
      <c r="P14" s="51">
        <f t="shared" si="7"/>
        <v>6.5035661380409189E-34</v>
      </c>
      <c r="Q14" s="50">
        <f t="shared" si="8"/>
        <v>4.9620084728524217E-3</v>
      </c>
      <c r="R14" s="51">
        <f t="shared" si="9"/>
        <v>3.1989763275751759E-2</v>
      </c>
      <c r="S14" s="51">
        <f t="shared" si="13"/>
        <v>2.8246874600212714E-20</v>
      </c>
      <c r="T14" s="12">
        <f t="shared" si="14"/>
        <v>2.4621528084659223E-5</v>
      </c>
      <c r="U14" s="124">
        <f t="shared" si="2"/>
        <v>0</v>
      </c>
      <c r="V14" s="19">
        <f t="shared" si="15"/>
        <v>0</v>
      </c>
      <c r="W14" s="12">
        <f t="shared" ref="W14:W77" si="18">+W13+V14</f>
        <v>0</v>
      </c>
      <c r="X14" s="53">
        <f t="shared" si="16"/>
        <v>0</v>
      </c>
      <c r="Y14" s="19">
        <f t="shared" si="10"/>
        <v>0</v>
      </c>
      <c r="Z14" s="12"/>
      <c r="AB14" s="54">
        <f t="shared" si="11"/>
        <v>1</v>
      </c>
    </row>
    <row r="15" spans="1:28" x14ac:dyDescent="0.25">
      <c r="A15" s="41">
        <v>4</v>
      </c>
      <c r="B15" s="42">
        <v>39601</v>
      </c>
      <c r="C15" s="43"/>
      <c r="D15" s="63">
        <v>20</v>
      </c>
      <c r="E15" s="56">
        <f t="shared" si="12"/>
        <v>5</v>
      </c>
      <c r="F15" s="58">
        <f>+'[1]Con 8hE'!E17</f>
        <v>0</v>
      </c>
      <c r="G15" s="57">
        <f t="shared" si="0"/>
        <v>0</v>
      </c>
      <c r="H15" s="57">
        <f>+F15/G86</f>
        <v>0</v>
      </c>
      <c r="I15" s="102">
        <f>+G15/G86</f>
        <v>0</v>
      </c>
      <c r="J15" s="50">
        <f t="shared" si="1"/>
        <v>0</v>
      </c>
      <c r="K15" s="58">
        <f t="shared" si="17"/>
        <v>0</v>
      </c>
      <c r="L15" s="51">
        <f t="shared" si="3"/>
        <v>4.0630586705672031E-2</v>
      </c>
      <c r="M15" s="51">
        <f t="shared" si="4"/>
        <v>0</v>
      </c>
      <c r="N15" s="51">
        <f t="shared" si="5"/>
        <v>0.1429615495999623</v>
      </c>
      <c r="O15" s="52">
        <f t="shared" si="6"/>
        <v>0.16761056025023602</v>
      </c>
      <c r="P15" s="51">
        <f t="shared" si="7"/>
        <v>5.6896603526967525E-25</v>
      </c>
      <c r="Q15" s="50">
        <f t="shared" si="8"/>
        <v>1.0193642131146364E-2</v>
      </c>
      <c r="R15" s="51">
        <f t="shared" si="9"/>
        <v>4.2653017701002348E-2</v>
      </c>
      <c r="S15" s="51">
        <f t="shared" si="13"/>
        <v>1.1155469834187846E-14</v>
      </c>
      <c r="T15" s="12">
        <f t="shared" si="14"/>
        <v>1.0391033989788218E-4</v>
      </c>
      <c r="U15" s="124">
        <f t="shared" si="2"/>
        <v>0</v>
      </c>
      <c r="V15" s="19">
        <f t="shared" si="15"/>
        <v>0</v>
      </c>
      <c r="W15" s="12">
        <f t="shared" si="18"/>
        <v>0</v>
      </c>
      <c r="X15" s="53">
        <f t="shared" si="16"/>
        <v>0</v>
      </c>
      <c r="Y15" s="19">
        <f t="shared" si="10"/>
        <v>0</v>
      </c>
      <c r="Z15" s="12"/>
      <c r="AB15" s="54">
        <f t="shared" si="11"/>
        <v>1</v>
      </c>
    </row>
    <row r="16" spans="1:28" x14ac:dyDescent="0.25">
      <c r="A16" s="41">
        <v>5</v>
      </c>
      <c r="B16" s="42">
        <v>39601</v>
      </c>
      <c r="C16" s="43"/>
      <c r="D16" s="55">
        <v>25</v>
      </c>
      <c r="E16" s="56">
        <f t="shared" si="12"/>
        <v>5</v>
      </c>
      <c r="F16" s="58">
        <f>+'[1]Con 8hE'!E18</f>
        <v>0</v>
      </c>
      <c r="G16" s="57">
        <f t="shared" si="0"/>
        <v>0</v>
      </c>
      <c r="H16" s="57">
        <f>+F16/G86</f>
        <v>0</v>
      </c>
      <c r="I16" s="102">
        <f>+G16/G86</f>
        <v>0</v>
      </c>
      <c r="J16" s="50">
        <f t="shared" si="1"/>
        <v>0</v>
      </c>
      <c r="K16" s="58">
        <f t="shared" si="17"/>
        <v>0</v>
      </c>
      <c r="L16" s="51">
        <f t="shared" si="3"/>
        <v>5.0788233382090035E-2</v>
      </c>
      <c r="M16" s="51">
        <f t="shared" si="4"/>
        <v>0</v>
      </c>
      <c r="N16" s="51">
        <f t="shared" si="5"/>
        <v>0.1480830177575197</v>
      </c>
      <c r="O16" s="52">
        <f t="shared" si="6"/>
        <v>0.17270724098573861</v>
      </c>
      <c r="P16" s="51">
        <f t="shared" si="7"/>
        <v>1.2729426411565224E-19</v>
      </c>
      <c r="Q16" s="50">
        <f t="shared" si="8"/>
        <v>1.7671088335573692E-2</v>
      </c>
      <c r="R16" s="51">
        <f t="shared" si="9"/>
        <v>5.3316272126252937E-2</v>
      </c>
      <c r="S16" s="51">
        <f t="shared" si="13"/>
        <v>2.3405455693586413E-11</v>
      </c>
      <c r="T16" s="12">
        <f t="shared" si="14"/>
        <v>3.1226736296364858E-4</v>
      </c>
      <c r="U16" s="124">
        <f t="shared" si="2"/>
        <v>0</v>
      </c>
      <c r="V16" s="19">
        <f t="shared" si="15"/>
        <v>0</v>
      </c>
      <c r="W16" s="12">
        <f t="shared" si="18"/>
        <v>0</v>
      </c>
      <c r="X16" s="53">
        <f t="shared" si="16"/>
        <v>0</v>
      </c>
      <c r="Y16" s="19">
        <f t="shared" si="10"/>
        <v>0</v>
      </c>
      <c r="Z16" s="12"/>
      <c r="AA16" s="62"/>
      <c r="AB16" s="54">
        <f t="shared" si="11"/>
        <v>1</v>
      </c>
    </row>
    <row r="17" spans="1:28" x14ac:dyDescent="0.25">
      <c r="A17" s="41">
        <v>6</v>
      </c>
      <c r="B17" s="42">
        <v>39601</v>
      </c>
      <c r="C17" s="43"/>
      <c r="D17" s="63">
        <v>30</v>
      </c>
      <c r="E17" s="56">
        <f t="shared" si="12"/>
        <v>5</v>
      </c>
      <c r="F17" s="58">
        <f>+'[1]Con 8hE'!E19</f>
        <v>0</v>
      </c>
      <c r="G17" s="57">
        <f t="shared" si="0"/>
        <v>0</v>
      </c>
      <c r="H17" s="57">
        <f>+F17/G86</f>
        <v>0</v>
      </c>
      <c r="I17" s="102">
        <f>+G17/G86</f>
        <v>0</v>
      </c>
      <c r="J17" s="50">
        <f t="shared" si="1"/>
        <v>0</v>
      </c>
      <c r="K17" s="58">
        <f t="shared" si="17"/>
        <v>0</v>
      </c>
      <c r="L17" s="51">
        <f t="shared" si="3"/>
        <v>6.0945880058508047E-2</v>
      </c>
      <c r="M17" s="51">
        <f t="shared" si="4"/>
        <v>0</v>
      </c>
      <c r="N17" s="51">
        <f t="shared" si="5"/>
        <v>0.15333050230169898</v>
      </c>
      <c r="O17" s="52">
        <f t="shared" si="6"/>
        <v>0.17790216893478619</v>
      </c>
      <c r="P17" s="51">
        <f t="shared" si="7"/>
        <v>4.5738549379415644E-16</v>
      </c>
      <c r="Q17" s="50">
        <f t="shared" si="8"/>
        <v>2.7514167250852962E-2</v>
      </c>
      <c r="R17" s="51">
        <f t="shared" si="9"/>
        <v>6.3979526551503518E-2</v>
      </c>
      <c r="S17" s="51">
        <f t="shared" si="13"/>
        <v>3.6255494171311479E-9</v>
      </c>
      <c r="T17" s="12">
        <f t="shared" si="14"/>
        <v>7.5702939950790971E-4</v>
      </c>
      <c r="U17" s="124">
        <f t="shared" si="2"/>
        <v>0</v>
      </c>
      <c r="V17" s="19">
        <f t="shared" si="15"/>
        <v>0</v>
      </c>
      <c r="W17" s="12">
        <f t="shared" si="18"/>
        <v>0</v>
      </c>
      <c r="X17" s="53">
        <f t="shared" si="16"/>
        <v>0</v>
      </c>
      <c r="Y17" s="19">
        <f t="shared" si="10"/>
        <v>0</v>
      </c>
      <c r="Z17" s="12"/>
      <c r="AA17" s="3"/>
      <c r="AB17" s="54">
        <f t="shared" si="11"/>
        <v>1</v>
      </c>
    </row>
    <row r="18" spans="1:28" x14ac:dyDescent="0.25">
      <c r="A18" s="41">
        <v>7</v>
      </c>
      <c r="B18" s="42">
        <v>39601</v>
      </c>
      <c r="C18" s="43"/>
      <c r="D18" s="55">
        <v>35</v>
      </c>
      <c r="E18" s="56">
        <f t="shared" si="12"/>
        <v>5</v>
      </c>
      <c r="F18" s="58">
        <f>+'[1]Con 8hE'!E20</f>
        <v>0</v>
      </c>
      <c r="G18" s="57">
        <f t="shared" si="0"/>
        <v>0</v>
      </c>
      <c r="H18" s="57">
        <f>+F18/G86</f>
        <v>0</v>
      </c>
      <c r="I18" s="102">
        <f>+G18/G86</f>
        <v>0</v>
      </c>
      <c r="J18" s="50">
        <f t="shared" si="1"/>
        <v>0</v>
      </c>
      <c r="K18" s="58">
        <f t="shared" si="17"/>
        <v>0</v>
      </c>
      <c r="L18" s="51">
        <f t="shared" si="3"/>
        <v>7.1103526734926051E-2</v>
      </c>
      <c r="M18" s="51">
        <f t="shared" si="4"/>
        <v>0</v>
      </c>
      <c r="N18" s="51">
        <f t="shared" si="5"/>
        <v>0.15870446793668114</v>
      </c>
      <c r="O18" s="52">
        <f t="shared" si="6"/>
        <v>0.18319493728780892</v>
      </c>
      <c r="P18" s="51">
        <f t="shared" si="7"/>
        <v>1.5542565113254719E-13</v>
      </c>
      <c r="Q18" s="50">
        <f t="shared" si="8"/>
        <v>3.9779840732570931E-2</v>
      </c>
      <c r="R18" s="51">
        <f t="shared" si="9"/>
        <v>7.4642780976754114E-2</v>
      </c>
      <c r="S18" s="51">
        <f t="shared" si="13"/>
        <v>1.2760244877830238E-7</v>
      </c>
      <c r="T18" s="12">
        <f t="shared" si="14"/>
        <v>1.5824357287087094E-3</v>
      </c>
      <c r="U18" s="124">
        <f t="shared" si="2"/>
        <v>0</v>
      </c>
      <c r="V18" s="19">
        <f t="shared" si="15"/>
        <v>0</v>
      </c>
      <c r="W18" s="12">
        <f t="shared" si="18"/>
        <v>0</v>
      </c>
      <c r="X18" s="53">
        <f t="shared" si="16"/>
        <v>0</v>
      </c>
      <c r="Y18" s="19">
        <f t="shared" si="10"/>
        <v>0</v>
      </c>
      <c r="Z18" s="12"/>
      <c r="AA18" s="3"/>
      <c r="AB18" s="54">
        <f t="shared" si="11"/>
        <v>1</v>
      </c>
    </row>
    <row r="19" spans="1:28" x14ac:dyDescent="0.25">
      <c r="A19" s="41">
        <v>8</v>
      </c>
      <c r="B19" s="42">
        <v>39601</v>
      </c>
      <c r="C19" s="43"/>
      <c r="D19" s="63">
        <v>40</v>
      </c>
      <c r="E19" s="56">
        <f t="shared" si="12"/>
        <v>5</v>
      </c>
      <c r="F19" s="58">
        <f>+'[1]Con 8hE'!E21</f>
        <v>0</v>
      </c>
      <c r="G19" s="57">
        <f t="shared" si="0"/>
        <v>0</v>
      </c>
      <c r="H19" s="57">
        <f>+F19/G86</f>
        <v>0</v>
      </c>
      <c r="I19" s="102">
        <f>+G19/G86</f>
        <v>0</v>
      </c>
      <c r="J19" s="50">
        <f t="shared" si="1"/>
        <v>0</v>
      </c>
      <c r="K19" s="58">
        <f t="shared" si="17"/>
        <v>0</v>
      </c>
      <c r="L19" s="51">
        <f t="shared" si="3"/>
        <v>8.1261173411344062E-2</v>
      </c>
      <c r="M19" s="51">
        <f t="shared" si="4"/>
        <v>0</v>
      </c>
      <c r="N19" s="51">
        <f t="shared" si="5"/>
        <v>0.16420525112631446</v>
      </c>
      <c r="O19" s="52">
        <f t="shared" si="6"/>
        <v>0.18858503210389202</v>
      </c>
      <c r="P19" s="51">
        <f t="shared" si="7"/>
        <v>1.2113548461550345E-11</v>
      </c>
      <c r="Q19" s="50">
        <f t="shared" si="8"/>
        <v>5.4476764639700338E-2</v>
      </c>
      <c r="R19" s="51">
        <f t="shared" si="9"/>
        <v>8.5306035402004696E-2</v>
      </c>
      <c r="S19" s="51">
        <f t="shared" si="13"/>
        <v>1.7867937808768683E-6</v>
      </c>
      <c r="T19" s="12">
        <f t="shared" si="14"/>
        <v>2.967717885609305E-3</v>
      </c>
      <c r="U19" s="124">
        <f t="shared" si="2"/>
        <v>0</v>
      </c>
      <c r="V19" s="19">
        <f t="shared" si="15"/>
        <v>0</v>
      </c>
      <c r="W19" s="12">
        <f t="shared" si="18"/>
        <v>0</v>
      </c>
      <c r="X19" s="53">
        <f t="shared" si="16"/>
        <v>0</v>
      </c>
      <c r="Y19" s="19">
        <f t="shared" si="10"/>
        <v>0</v>
      </c>
      <c r="Z19" s="12"/>
      <c r="AB19" s="54">
        <f t="shared" si="11"/>
        <v>1</v>
      </c>
    </row>
    <row r="20" spans="1:28" x14ac:dyDescent="0.25">
      <c r="A20" s="41">
        <v>9</v>
      </c>
      <c r="B20" s="42">
        <v>39601</v>
      </c>
      <c r="C20" s="43"/>
      <c r="D20" s="55">
        <v>45</v>
      </c>
      <c r="E20" s="56">
        <f t="shared" si="12"/>
        <v>5</v>
      </c>
      <c r="F20" s="45">
        <f>+'[1]Con 8hE'!E22</f>
        <v>0</v>
      </c>
      <c r="G20" s="47">
        <f t="shared" si="0"/>
        <v>0</v>
      </c>
      <c r="H20" s="47">
        <f>+F20/G86</f>
        <v>0</v>
      </c>
      <c r="I20" s="48">
        <f>+G20/G86</f>
        <v>0</v>
      </c>
      <c r="J20" s="49">
        <f t="shared" si="1"/>
        <v>0</v>
      </c>
      <c r="K20" s="45">
        <f t="shared" si="17"/>
        <v>0</v>
      </c>
      <c r="L20" s="51">
        <f t="shared" si="3"/>
        <v>9.1418820087762059E-2</v>
      </c>
      <c r="M20" s="51">
        <f t="shared" si="4"/>
        <v>0</v>
      </c>
      <c r="N20" s="51">
        <f t="shared" si="5"/>
        <v>0.16983305508722554</v>
      </c>
      <c r="O20" s="52">
        <f t="shared" si="6"/>
        <v>0.19407182978886386</v>
      </c>
      <c r="P20" s="51">
        <f t="shared" si="7"/>
        <v>3.5410094244424359E-10</v>
      </c>
      <c r="Q20" s="50">
        <f t="shared" si="8"/>
        <v>7.1575833820929441E-2</v>
      </c>
      <c r="R20" s="51">
        <f t="shared" si="9"/>
        <v>9.5969289827255277E-2</v>
      </c>
      <c r="S20" s="51">
        <f t="shared" si="13"/>
        <v>1.3575244032090259E-5</v>
      </c>
      <c r="T20" s="12">
        <f t="shared" si="14"/>
        <v>5.1230999871613066E-3</v>
      </c>
      <c r="U20" s="124">
        <f t="shared" si="2"/>
        <v>0</v>
      </c>
      <c r="V20" s="19">
        <f t="shared" si="15"/>
        <v>0</v>
      </c>
      <c r="W20" s="12">
        <f t="shared" si="18"/>
        <v>0</v>
      </c>
      <c r="X20" s="53">
        <f t="shared" si="16"/>
        <v>0</v>
      </c>
      <c r="Y20" s="19">
        <f t="shared" si="10"/>
        <v>0</v>
      </c>
      <c r="Z20" s="12"/>
      <c r="AA20" s="3"/>
      <c r="AB20" s="54">
        <f t="shared" si="11"/>
        <v>1</v>
      </c>
    </row>
    <row r="21" spans="1:28" x14ac:dyDescent="0.25">
      <c r="A21" s="41">
        <v>10</v>
      </c>
      <c r="B21" s="42">
        <v>39601</v>
      </c>
      <c r="C21" s="43"/>
      <c r="D21" s="55">
        <v>50</v>
      </c>
      <c r="E21" s="56">
        <f t="shared" si="12"/>
        <v>5</v>
      </c>
      <c r="F21" s="45">
        <f>+'[1]Con 8hE'!E23</f>
        <v>0</v>
      </c>
      <c r="G21" s="47">
        <f t="shared" si="0"/>
        <v>0</v>
      </c>
      <c r="H21" s="47">
        <f>+F21/G86</f>
        <v>0</v>
      </c>
      <c r="I21" s="48">
        <f>+G21/G86</f>
        <v>0</v>
      </c>
      <c r="J21" s="49">
        <f t="shared" si="1"/>
        <v>0</v>
      </c>
      <c r="K21" s="45">
        <f t="shared" si="17"/>
        <v>0</v>
      </c>
      <c r="L21" s="51">
        <f t="shared" si="3"/>
        <v>0.10157646676418007</v>
      </c>
      <c r="M21" s="51">
        <f t="shared" si="4"/>
        <v>0</v>
      </c>
      <c r="N21" s="51">
        <f t="shared" si="5"/>
        <v>0.1755879448612869</v>
      </c>
      <c r="O21" s="52">
        <f t="shared" si="6"/>
        <v>0.19965459467611171</v>
      </c>
      <c r="P21" s="51">
        <f t="shared" si="7"/>
        <v>5.2138845769746245E-9</v>
      </c>
      <c r="Q21" s="50">
        <f t="shared" si="8"/>
        <v>9.1018206830732903E-2</v>
      </c>
      <c r="R21" s="51">
        <f t="shared" si="9"/>
        <v>0.10663254425250587</v>
      </c>
      <c r="S21" s="51">
        <f t="shared" si="13"/>
        <v>6.7367815257370178E-5</v>
      </c>
      <c r="T21" s="12">
        <f t="shared" si="14"/>
        <v>8.2843139746820744E-3</v>
      </c>
      <c r="U21" s="124">
        <f t="shared" si="2"/>
        <v>0</v>
      </c>
      <c r="V21" s="19">
        <f t="shared" si="15"/>
        <v>0</v>
      </c>
      <c r="W21" s="12">
        <f t="shared" si="18"/>
        <v>0</v>
      </c>
      <c r="X21" s="53">
        <f t="shared" si="16"/>
        <v>0</v>
      </c>
      <c r="Y21" s="19">
        <f t="shared" si="10"/>
        <v>0</v>
      </c>
      <c r="Z21" s="12"/>
      <c r="AA21" s="3"/>
      <c r="AB21" s="54">
        <f t="shared" si="11"/>
        <v>1</v>
      </c>
    </row>
    <row r="22" spans="1:28" x14ac:dyDescent="0.25">
      <c r="A22" s="41">
        <v>11</v>
      </c>
      <c r="B22" s="42">
        <v>39601</v>
      </c>
      <c r="C22" s="43"/>
      <c r="D22" s="63">
        <v>55</v>
      </c>
      <c r="E22" s="56">
        <f t="shared" si="12"/>
        <v>5</v>
      </c>
      <c r="F22" s="45">
        <f>+'[1]Con 8hE'!E24</f>
        <v>0</v>
      </c>
      <c r="G22" s="47">
        <f t="shared" si="0"/>
        <v>0</v>
      </c>
      <c r="H22" s="47">
        <f>+F22/G86</f>
        <v>0</v>
      </c>
      <c r="I22" s="48">
        <f>+G22/G86</f>
        <v>0</v>
      </c>
      <c r="J22" s="49">
        <f t="shared" si="1"/>
        <v>0</v>
      </c>
      <c r="K22" s="45">
        <f t="shared" si="17"/>
        <v>0</v>
      </c>
      <c r="L22" s="51">
        <f t="shared" si="3"/>
        <v>0.11173411344059808</v>
      </c>
      <c r="M22" s="51">
        <f t="shared" si="4"/>
        <v>0</v>
      </c>
      <c r="N22" s="51">
        <f t="shared" si="5"/>
        <v>0.18146984248145268</v>
      </c>
      <c r="O22" s="52">
        <f t="shared" si="6"/>
        <v>0.2053324767178398</v>
      </c>
      <c r="P22" s="51">
        <f t="shared" si="7"/>
        <v>4.6646488339414496E-8</v>
      </c>
      <c r="Q22" s="50">
        <f t="shared" si="8"/>
        <v>0.11272161545302083</v>
      </c>
      <c r="R22" s="51">
        <f t="shared" si="9"/>
        <v>0.11729579867775645</v>
      </c>
      <c r="S22" s="51">
        <f t="shared" si="13"/>
        <v>2.4563855339085463E-4</v>
      </c>
      <c r="T22" s="12">
        <f t="shared" si="14"/>
        <v>1.2706162590338703E-2</v>
      </c>
      <c r="U22" s="124">
        <f t="shared" si="2"/>
        <v>0</v>
      </c>
      <c r="V22" s="19">
        <f t="shared" si="15"/>
        <v>0</v>
      </c>
      <c r="W22" s="12">
        <f t="shared" si="18"/>
        <v>0</v>
      </c>
      <c r="X22" s="53">
        <f t="shared" si="16"/>
        <v>0</v>
      </c>
      <c r="Y22" s="19">
        <f t="shared" si="10"/>
        <v>0</v>
      </c>
      <c r="Z22" s="12"/>
      <c r="AA22" s="3"/>
      <c r="AB22" s="54">
        <f t="shared" si="11"/>
        <v>1</v>
      </c>
    </row>
    <row r="23" spans="1:28" x14ac:dyDescent="0.25">
      <c r="A23" s="41">
        <v>12</v>
      </c>
      <c r="B23" s="42">
        <v>39601</v>
      </c>
      <c r="C23" s="43"/>
      <c r="D23" s="55">
        <v>60</v>
      </c>
      <c r="E23" s="56">
        <f t="shared" si="12"/>
        <v>5</v>
      </c>
      <c r="F23" s="45">
        <f>+'[1]Con 8hE'!E25</f>
        <v>0</v>
      </c>
      <c r="G23" s="47">
        <f t="shared" si="0"/>
        <v>0</v>
      </c>
      <c r="H23" s="47">
        <f>+F23/G86</f>
        <v>0</v>
      </c>
      <c r="I23" s="48">
        <f>+G23/G86</f>
        <v>0</v>
      </c>
      <c r="J23" s="49">
        <f t="shared" si="1"/>
        <v>0</v>
      </c>
      <c r="K23" s="45">
        <f t="shared" si="17"/>
        <v>0</v>
      </c>
      <c r="L23" s="51">
        <f t="shared" si="3"/>
        <v>0.12189176011701609</v>
      </c>
      <c r="M23" s="51">
        <f t="shared" si="4"/>
        <v>0</v>
      </c>
      <c r="N23" s="51">
        <f t="shared" si="5"/>
        <v>0.1874785222452118</v>
      </c>
      <c r="O23" s="52">
        <f t="shared" si="6"/>
        <v>0.21110450929446409</v>
      </c>
      <c r="P23" s="51">
        <f t="shared" si="7"/>
        <v>2.8731557253603918E-7</v>
      </c>
      <c r="Q23" s="50">
        <f t="shared" si="8"/>
        <v>0.13658543907116891</v>
      </c>
      <c r="R23" s="51">
        <f t="shared" si="9"/>
        <v>0.12795905310300704</v>
      </c>
      <c r="S23" s="51">
        <f t="shared" si="13"/>
        <v>7.1160799096999742E-4</v>
      </c>
      <c r="T23" s="12">
        <f t="shared" si="14"/>
        <v>1.8655582166263993E-2</v>
      </c>
      <c r="U23" s="124">
        <f t="shared" si="2"/>
        <v>0</v>
      </c>
      <c r="V23" s="19">
        <f t="shared" si="15"/>
        <v>0</v>
      </c>
      <c r="W23" s="12">
        <f t="shared" si="18"/>
        <v>0</v>
      </c>
      <c r="X23" s="53">
        <f t="shared" si="16"/>
        <v>0</v>
      </c>
      <c r="Y23" s="19">
        <f t="shared" si="10"/>
        <v>0</v>
      </c>
      <c r="Z23" s="12"/>
      <c r="AA23" s="3"/>
      <c r="AB23" s="54">
        <f t="shared" si="11"/>
        <v>1</v>
      </c>
    </row>
    <row r="24" spans="1:28" x14ac:dyDescent="0.25">
      <c r="A24" s="41">
        <v>13</v>
      </c>
      <c r="B24" s="42">
        <v>39601</v>
      </c>
      <c r="C24" s="43"/>
      <c r="D24" s="63">
        <v>70</v>
      </c>
      <c r="E24" s="56">
        <f t="shared" si="12"/>
        <v>10</v>
      </c>
      <c r="F24" s="45">
        <f>+'[1]Con 8hE'!E26</f>
        <v>0</v>
      </c>
      <c r="G24" s="57">
        <f t="shared" si="0"/>
        <v>0</v>
      </c>
      <c r="H24" s="57">
        <f>+F24/G86</f>
        <v>0</v>
      </c>
      <c r="I24" s="102">
        <f>+G24/G86</f>
        <v>0</v>
      </c>
      <c r="J24" s="50">
        <f t="shared" si="1"/>
        <v>0</v>
      </c>
      <c r="K24" s="58">
        <f t="shared" si="17"/>
        <v>0</v>
      </c>
      <c r="L24" s="51">
        <f t="shared" si="3"/>
        <v>0.1422070534698521</v>
      </c>
      <c r="M24" s="51">
        <f t="shared" si="4"/>
        <v>0</v>
      </c>
      <c r="N24" s="51">
        <f t="shared" si="5"/>
        <v>0.19987455922588129</v>
      </c>
      <c r="O24" s="52">
        <f t="shared" si="6"/>
        <v>0.2229265644595417</v>
      </c>
      <c r="P24" s="51">
        <f t="shared" si="7"/>
        <v>4.9034179300112231E-6</v>
      </c>
      <c r="Q24" s="50">
        <f t="shared" si="8"/>
        <v>0.19032424826861974</v>
      </c>
      <c r="R24" s="51">
        <f t="shared" si="9"/>
        <v>0.14928556195350823</v>
      </c>
      <c r="S24" s="51">
        <f t="shared" si="13"/>
        <v>3.6594788164728657E-3</v>
      </c>
      <c r="T24" s="12">
        <f t="shared" si="14"/>
        <v>3.6223319479015206E-2</v>
      </c>
      <c r="U24" s="124">
        <f t="shared" si="2"/>
        <v>0</v>
      </c>
      <c r="V24" s="19">
        <f t="shared" si="15"/>
        <v>0</v>
      </c>
      <c r="W24" s="12">
        <f t="shared" si="18"/>
        <v>0</v>
      </c>
      <c r="X24" s="53">
        <f t="shared" si="16"/>
        <v>0</v>
      </c>
      <c r="Y24" s="19">
        <f t="shared" si="10"/>
        <v>0</v>
      </c>
      <c r="Z24" s="12"/>
      <c r="AA24" s="3"/>
      <c r="AB24" s="54">
        <f t="shared" si="11"/>
        <v>1</v>
      </c>
    </row>
    <row r="25" spans="1:28" x14ac:dyDescent="0.25">
      <c r="A25" s="41">
        <v>14</v>
      </c>
      <c r="B25" s="42">
        <v>39601</v>
      </c>
      <c r="C25" s="43"/>
      <c r="D25" s="55">
        <v>80</v>
      </c>
      <c r="E25" s="56">
        <f t="shared" si="12"/>
        <v>10</v>
      </c>
      <c r="F25" s="45">
        <f>+'[1]Con 8hE'!E27</f>
        <v>0</v>
      </c>
      <c r="G25" s="57">
        <f t="shared" si="0"/>
        <v>0</v>
      </c>
      <c r="H25" s="57">
        <f>+F25/G86</f>
        <v>0</v>
      </c>
      <c r="I25" s="102">
        <f>+G25/G86</f>
        <v>0</v>
      </c>
      <c r="J25" s="50">
        <f t="shared" si="1"/>
        <v>0</v>
      </c>
      <c r="K25" s="58">
        <f t="shared" si="17"/>
        <v>0</v>
      </c>
      <c r="L25" s="51">
        <f t="shared" si="3"/>
        <v>0.16252234682268812</v>
      </c>
      <c r="M25" s="51">
        <f t="shared" si="4"/>
        <v>0</v>
      </c>
      <c r="N25" s="51">
        <f t="shared" si="5"/>
        <v>0.21277112403798495</v>
      </c>
      <c r="O25" s="52">
        <f t="shared" si="6"/>
        <v>0.23511062070952324</v>
      </c>
      <c r="P25" s="51">
        <f t="shared" si="7"/>
        <v>4.0283904264150613E-5</v>
      </c>
      <c r="Q25" s="50">
        <f t="shared" si="8"/>
        <v>0.25120335943981309</v>
      </c>
      <c r="R25" s="51">
        <f t="shared" si="9"/>
        <v>0.17061207080400939</v>
      </c>
      <c r="S25" s="51">
        <f t="shared" si="13"/>
        <v>1.2055324705693166E-2</v>
      </c>
      <c r="T25" s="12">
        <f t="shared" si="14"/>
        <v>6.3103127793847927E-2</v>
      </c>
      <c r="U25" s="124">
        <f t="shared" si="2"/>
        <v>0</v>
      </c>
      <c r="V25" s="19">
        <f t="shared" si="15"/>
        <v>0</v>
      </c>
      <c r="W25" s="12">
        <f t="shared" si="18"/>
        <v>0</v>
      </c>
      <c r="X25" s="53">
        <f t="shared" si="16"/>
        <v>0</v>
      </c>
      <c r="Y25" s="19">
        <f t="shared" si="10"/>
        <v>0</v>
      </c>
      <c r="Z25" s="12"/>
      <c r="AA25" s="3"/>
      <c r="AB25" s="54">
        <f t="shared" si="11"/>
        <v>1</v>
      </c>
    </row>
    <row r="26" spans="1:28" x14ac:dyDescent="0.25">
      <c r="A26" s="41">
        <v>15</v>
      </c>
      <c r="B26" s="42">
        <v>39601</v>
      </c>
      <c r="C26" s="43"/>
      <c r="D26" s="63">
        <v>90</v>
      </c>
      <c r="E26" s="56">
        <f t="shared" si="12"/>
        <v>10</v>
      </c>
      <c r="F26" s="45">
        <f>+'[1]Con 8hE'!E28</f>
        <v>0</v>
      </c>
      <c r="G26" s="47">
        <f t="shared" si="0"/>
        <v>0</v>
      </c>
      <c r="H26" s="47">
        <f>+F26/G86</f>
        <v>0</v>
      </c>
      <c r="I26" s="48">
        <f>+G26/G86</f>
        <v>0</v>
      </c>
      <c r="J26" s="49">
        <f t="shared" si="1"/>
        <v>0</v>
      </c>
      <c r="K26" s="45">
        <f t="shared" si="17"/>
        <v>0</v>
      </c>
      <c r="L26" s="51">
        <f t="shared" si="3"/>
        <v>0.18283764017552412</v>
      </c>
      <c r="M26" s="51">
        <f t="shared" si="4"/>
        <v>0</v>
      </c>
      <c r="N26" s="51">
        <f t="shared" si="5"/>
        <v>0.22616064197405292</v>
      </c>
      <c r="O26" s="52">
        <f t="shared" si="6"/>
        <v>0.24764455580979747</v>
      </c>
      <c r="P26" s="51">
        <f t="shared" si="7"/>
        <v>2.0348273375985626E-4</v>
      </c>
      <c r="Q26" s="50">
        <f t="shared" si="8"/>
        <v>0.31809995305321198</v>
      </c>
      <c r="R26" s="51">
        <f t="shared" si="9"/>
        <v>0.19193857965451055</v>
      </c>
      <c r="S26" s="51">
        <f t="shared" si="13"/>
        <v>2.9600363930199883E-2</v>
      </c>
      <c r="T26" s="12">
        <f t="shared" si="14"/>
        <v>0.10118758013245567</v>
      </c>
      <c r="U26" s="124">
        <f t="shared" si="2"/>
        <v>0</v>
      </c>
      <c r="V26" s="19">
        <f t="shared" si="15"/>
        <v>0</v>
      </c>
      <c r="W26" s="12">
        <f t="shared" si="18"/>
        <v>0</v>
      </c>
      <c r="X26" s="53">
        <f t="shared" si="16"/>
        <v>0</v>
      </c>
      <c r="Y26" s="19">
        <f t="shared" si="10"/>
        <v>0</v>
      </c>
      <c r="Z26" s="12"/>
      <c r="AA26" s="3"/>
      <c r="AB26" s="54">
        <f t="shared" si="11"/>
        <v>1</v>
      </c>
    </row>
    <row r="27" spans="1:28" x14ac:dyDescent="0.25">
      <c r="A27" s="41">
        <v>16</v>
      </c>
      <c r="B27" s="42">
        <v>39601</v>
      </c>
      <c r="C27" s="43"/>
      <c r="D27" s="55">
        <v>100</v>
      </c>
      <c r="E27" s="56">
        <f t="shared" si="12"/>
        <v>10</v>
      </c>
      <c r="F27" s="45">
        <f>+'[1]Con 8hE'!E29</f>
        <v>0</v>
      </c>
      <c r="G27" s="47">
        <f t="shared" si="0"/>
        <v>0</v>
      </c>
      <c r="H27" s="47">
        <f>+F27/G86</f>
        <v>0</v>
      </c>
      <c r="I27" s="48">
        <f>+G27/G86</f>
        <v>0</v>
      </c>
      <c r="J27" s="49">
        <f t="shared" si="1"/>
        <v>0</v>
      </c>
      <c r="K27" s="45">
        <f t="shared" si="17"/>
        <v>0</v>
      </c>
      <c r="L27" s="51">
        <f t="shared" si="3"/>
        <v>0.20315293352836014</v>
      </c>
      <c r="M27" s="51">
        <f t="shared" si="4"/>
        <v>0</v>
      </c>
      <c r="N27" s="51">
        <f t="shared" si="5"/>
        <v>0.24003277174267934</v>
      </c>
      <c r="O27" s="52">
        <f t="shared" si="6"/>
        <v>0.26051421988687468</v>
      </c>
      <c r="P27" s="51">
        <f t="shared" si="7"/>
        <v>7.3174816898788754E-4</v>
      </c>
      <c r="Q27" s="50">
        <f t="shared" si="8"/>
        <v>0.38985985510435628</v>
      </c>
      <c r="R27" s="51">
        <f t="shared" si="9"/>
        <v>0.21326508850501175</v>
      </c>
      <c r="S27" s="51">
        <f t="shared" si="13"/>
        <v>5.9289428652769302E-2</v>
      </c>
      <c r="T27" s="12">
        <f t="shared" si="14"/>
        <v>0.15199070662198969</v>
      </c>
      <c r="U27" s="124">
        <f t="shared" si="2"/>
        <v>0</v>
      </c>
      <c r="V27" s="19">
        <f t="shared" si="15"/>
        <v>0</v>
      </c>
      <c r="W27" s="12">
        <f t="shared" si="18"/>
        <v>0</v>
      </c>
      <c r="X27" s="53">
        <f t="shared" si="16"/>
        <v>0</v>
      </c>
      <c r="Y27" s="19">
        <f t="shared" si="10"/>
        <v>0</v>
      </c>
      <c r="Z27" s="19"/>
      <c r="AA27" s="3"/>
      <c r="AB27" s="54">
        <f t="shared" si="11"/>
        <v>1</v>
      </c>
    </row>
    <row r="28" spans="1:28" x14ac:dyDescent="0.25">
      <c r="A28" s="41">
        <v>17</v>
      </c>
      <c r="B28" s="42">
        <v>39601</v>
      </c>
      <c r="C28" s="43"/>
      <c r="D28" s="65">
        <v>110</v>
      </c>
      <c r="E28" s="56">
        <f t="shared" si="12"/>
        <v>10</v>
      </c>
      <c r="F28" s="58">
        <f>+'[1]Con 8hE'!E30</f>
        <v>1.1026315789473686E-2</v>
      </c>
      <c r="G28" s="57">
        <f t="shared" si="0"/>
        <v>0.11026315789473687</v>
      </c>
      <c r="H28" s="57">
        <f>+F28/G86</f>
        <v>9.3784812575491325E-6</v>
      </c>
      <c r="I28" s="102">
        <f>+G28/G86</f>
        <v>9.3784812575491332E-5</v>
      </c>
      <c r="J28" s="50">
        <f t="shared" si="1"/>
        <v>1.0316329383304047E-2</v>
      </c>
      <c r="K28" s="58">
        <f t="shared" si="17"/>
        <v>9.3784812575491323E-3</v>
      </c>
      <c r="L28" s="51">
        <f t="shared" si="3"/>
        <v>0.22346822688119616</v>
      </c>
      <c r="M28" s="51">
        <f t="shared" si="4"/>
        <v>4.5506874904967754E-3</v>
      </c>
      <c r="N28" s="51">
        <f t="shared" si="5"/>
        <v>0.25437429530643019</v>
      </c>
      <c r="O28" s="52">
        <f t="shared" si="6"/>
        <v>0.27370340140186478</v>
      </c>
      <c r="P28" s="51">
        <f t="shared" si="7"/>
        <v>2.0563570876971486E-3</v>
      </c>
      <c r="Q28" s="50">
        <f t="shared" si="8"/>
        <v>0.46534012163142974</v>
      </c>
      <c r="R28" s="51">
        <f t="shared" si="9"/>
        <v>0.23459159735551291</v>
      </c>
      <c r="S28" s="51">
        <f t="shared" si="13"/>
        <v>0.1025653600010815</v>
      </c>
      <c r="T28" s="12">
        <f t="shared" si="14"/>
        <v>0.21232690261592121</v>
      </c>
      <c r="U28" s="124">
        <f t="shared" si="2"/>
        <v>0.11555578947368424</v>
      </c>
      <c r="V28" s="19">
        <f t="shared" si="15"/>
        <v>9.2444631578947386E-3</v>
      </c>
      <c r="W28" s="12">
        <f t="shared" si="18"/>
        <v>9.2444631578947386E-3</v>
      </c>
      <c r="X28" s="53">
        <f t="shared" si="16"/>
        <v>0.11026315789473687</v>
      </c>
      <c r="Y28" s="19">
        <f t="shared" si="10"/>
        <v>9.3785113459842525E-3</v>
      </c>
      <c r="Z28" s="66" t="s">
        <v>72</v>
      </c>
      <c r="AB28" s="54">
        <f t="shared" si="11"/>
        <v>0.99990621488654019</v>
      </c>
    </row>
    <row r="29" spans="1:28" x14ac:dyDescent="0.25">
      <c r="A29" s="41">
        <v>18</v>
      </c>
      <c r="B29" s="42">
        <v>39601</v>
      </c>
      <c r="C29" s="43"/>
      <c r="D29" s="55">
        <v>120</v>
      </c>
      <c r="E29" s="56">
        <f t="shared" si="12"/>
        <v>10</v>
      </c>
      <c r="F29" s="58">
        <f>+'[1]Con 8hE'!E31</f>
        <v>3.2956140350877197E-2</v>
      </c>
      <c r="G29" s="57">
        <f t="shared" si="0"/>
        <v>0.32956140350877194</v>
      </c>
      <c r="H29" s="57">
        <f>+F29/G86</f>
        <v>2.8030989725228393E-5</v>
      </c>
      <c r="I29" s="102">
        <f>+G29/G86</f>
        <v>2.8030989725228388E-4</v>
      </c>
      <c r="J29" s="50">
        <f t="shared" si="1"/>
        <v>3.3637187670274064E-2</v>
      </c>
      <c r="K29" s="58">
        <f t="shared" si="17"/>
        <v>2.8030989725228394E-2</v>
      </c>
      <c r="L29" s="51">
        <f t="shared" si="3"/>
        <v>0.24378352023403219</v>
      </c>
      <c r="M29" s="51">
        <f t="shared" si="4"/>
        <v>1.3601378601269995E-2</v>
      </c>
      <c r="N29" s="51">
        <f t="shared" si="5"/>
        <v>0.26916902306674539</v>
      </c>
      <c r="O29" s="52">
        <f t="shared" si="6"/>
        <v>0.28719380480789986</v>
      </c>
      <c r="P29" s="51">
        <f t="shared" si="7"/>
        <v>4.8048273386550383E-3</v>
      </c>
      <c r="Q29" s="50">
        <f t="shared" si="8"/>
        <v>0.54343893549813949</v>
      </c>
      <c r="R29" s="51">
        <f t="shared" si="9"/>
        <v>0.25591810620601407</v>
      </c>
      <c r="S29" s="51">
        <f t="shared" si="13"/>
        <v>0.1591392672989935</v>
      </c>
      <c r="T29" s="12">
        <f t="shared" si="14"/>
        <v>0.28072783669844342</v>
      </c>
      <c r="U29" s="124">
        <f t="shared" si="2"/>
        <v>0.34538035087719304</v>
      </c>
      <c r="V29" s="19">
        <f t="shared" si="15"/>
        <v>2.7630428070175444E-2</v>
      </c>
      <c r="W29" s="12">
        <f t="shared" si="18"/>
        <v>3.6874891228070181E-2</v>
      </c>
      <c r="X29" s="53">
        <f t="shared" si="16"/>
        <v>0.43982456140350878</v>
      </c>
      <c r="Y29" s="19">
        <f t="shared" si="10"/>
        <v>3.7409591001404167E-2</v>
      </c>
      <c r="AA29" s="3"/>
      <c r="AB29" s="54">
        <f t="shared" si="11"/>
        <v>0.99962590408998597</v>
      </c>
    </row>
    <row r="30" spans="1:28" x14ac:dyDescent="0.25">
      <c r="A30" s="41">
        <v>19</v>
      </c>
      <c r="B30" s="42">
        <v>39601</v>
      </c>
      <c r="C30" s="43"/>
      <c r="D30" s="63">
        <v>135</v>
      </c>
      <c r="E30" s="56">
        <f t="shared" si="12"/>
        <v>15</v>
      </c>
      <c r="F30" s="45">
        <f>+'[1]Con 8hE'!E32</f>
        <v>0.12067543859649123</v>
      </c>
      <c r="G30" s="47">
        <f t="shared" si="0"/>
        <v>1.8101315789473684</v>
      </c>
      <c r="H30" s="47">
        <f>+F30/G86</f>
        <v>1.0264102359594542E-4</v>
      </c>
      <c r="I30" s="48">
        <f>+G30/G86</f>
        <v>1.5396153539391814E-3</v>
      </c>
      <c r="J30" s="49">
        <f t="shared" si="1"/>
        <v>0.20784807278178949</v>
      </c>
      <c r="K30" s="45">
        <f t="shared" si="17"/>
        <v>0.10264102359594543</v>
      </c>
      <c r="L30" s="51">
        <f t="shared" si="3"/>
        <v>0.27425646026328621</v>
      </c>
      <c r="M30" s="51">
        <f t="shared" si="4"/>
        <v>4.980414304436287E-2</v>
      </c>
      <c r="N30" s="51">
        <f t="shared" si="5"/>
        <v>0.29216793903870175</v>
      </c>
      <c r="O30" s="52">
        <f t="shared" si="6"/>
        <v>0.30794902706548666</v>
      </c>
      <c r="P30" s="51">
        <f t="shared" si="7"/>
        <v>1.3288590356866279E-2</v>
      </c>
      <c r="Q30" s="50">
        <f t="shared" si="8"/>
        <v>0.66324191674861455</v>
      </c>
      <c r="R30" s="51">
        <f t="shared" si="9"/>
        <v>0.28790786948176583</v>
      </c>
      <c r="S30" s="51">
        <f t="shared" si="13"/>
        <v>0.2649162846733078</v>
      </c>
      <c r="T30" s="12">
        <f t="shared" si="14"/>
        <v>0.3763059022072287</v>
      </c>
      <c r="U30" s="124">
        <f t="shared" si="2"/>
        <v>1.8970178947368419</v>
      </c>
      <c r="V30" s="19">
        <f t="shared" si="15"/>
        <v>0.15176143157894736</v>
      </c>
      <c r="W30" s="12">
        <f t="shared" si="18"/>
        <v>0.18863632280701753</v>
      </c>
      <c r="X30" s="53">
        <f t="shared" si="16"/>
        <v>2.2499561403508772</v>
      </c>
      <c r="Y30" s="19">
        <f t="shared" si="10"/>
        <v>0.19137162034114802</v>
      </c>
      <c r="Z30" s="19"/>
      <c r="AA30" s="3"/>
      <c r="AB30" s="54">
        <f t="shared" si="11"/>
        <v>0.99808628379658848</v>
      </c>
    </row>
    <row r="31" spans="1:28" x14ac:dyDescent="0.25">
      <c r="A31" s="41">
        <v>20</v>
      </c>
      <c r="B31" s="42">
        <v>39601</v>
      </c>
      <c r="C31" s="43"/>
      <c r="D31" s="55">
        <v>150</v>
      </c>
      <c r="E31" s="56">
        <f t="shared" si="12"/>
        <v>15</v>
      </c>
      <c r="F31" s="125">
        <f>+'[1]Con 8hE'!E33</f>
        <v>0.36190350877192978</v>
      </c>
      <c r="G31" s="47">
        <f t="shared" si="0"/>
        <v>5.4285526315789472</v>
      </c>
      <c r="H31" s="47">
        <f>+F31/G86</f>
        <v>3.0781861674041721E-4</v>
      </c>
      <c r="I31" s="48">
        <f>+G31/G86</f>
        <v>4.6172792511062584E-3</v>
      </c>
      <c r="J31" s="49">
        <f t="shared" si="1"/>
        <v>0.69259188766593871</v>
      </c>
      <c r="K31" s="45">
        <f t="shared" si="17"/>
        <v>0.30781861674041722</v>
      </c>
      <c r="L31" s="51">
        <f t="shared" si="3"/>
        <v>0.3047294002925402</v>
      </c>
      <c r="M31" s="51">
        <f t="shared" si="4"/>
        <v>0.14936174526286825</v>
      </c>
      <c r="N31" s="51">
        <f t="shared" si="5"/>
        <v>0.31606446545430306</v>
      </c>
      <c r="O31" s="52">
        <f t="shared" si="6"/>
        <v>0.32925801621376971</v>
      </c>
      <c r="P31" s="51">
        <f t="shared" si="7"/>
        <v>2.9363281936050589E-2</v>
      </c>
      <c r="Q31" s="50">
        <f t="shared" si="8"/>
        <v>0.78342951774340686</v>
      </c>
      <c r="R31" s="51">
        <f t="shared" si="9"/>
        <v>0.31989763275751759</v>
      </c>
      <c r="S31" s="51">
        <f t="shared" si="13"/>
        <v>0.38741716369826146</v>
      </c>
      <c r="T31" s="12">
        <f t="shared" si="14"/>
        <v>0.40204194009843203</v>
      </c>
      <c r="U31" s="124">
        <f t="shared" si="2"/>
        <v>5.6891231578947359</v>
      </c>
      <c r="V31" s="19">
        <f t="shared" si="15"/>
        <v>0.45512985263157885</v>
      </c>
      <c r="W31" s="12">
        <f t="shared" si="18"/>
        <v>0.64376617543859638</v>
      </c>
      <c r="X31" s="53">
        <f t="shared" si="16"/>
        <v>7.678508771929824</v>
      </c>
      <c r="Y31" s="19">
        <f t="shared" si="10"/>
        <v>0.65310102678658022</v>
      </c>
      <c r="Z31" s="68">
        <f>+((([1]Resumen!O7-F30)*(D31-D30))/(F31-F30))+D30</f>
        <v>144.81474545454546</v>
      </c>
      <c r="AA31" s="69" t="s">
        <v>73</v>
      </c>
      <c r="AB31" s="54">
        <f t="shared" si="11"/>
        <v>0.99346898973213416</v>
      </c>
    </row>
    <row r="32" spans="1:28" x14ac:dyDescent="0.25">
      <c r="A32" s="41">
        <v>21</v>
      </c>
      <c r="B32" s="42">
        <v>39601</v>
      </c>
      <c r="C32" s="43"/>
      <c r="D32" s="63">
        <v>165</v>
      </c>
      <c r="E32" s="56">
        <f t="shared" si="12"/>
        <v>15</v>
      </c>
      <c r="F32" s="125">
        <f>+'[1]Con 8hE'!E34</f>
        <v>0.58120175438596478</v>
      </c>
      <c r="G32" s="47">
        <f t="shared" si="0"/>
        <v>8.7180263157894711</v>
      </c>
      <c r="H32" s="47">
        <f>+F32/G86</f>
        <v>4.9434370141720975E-4</v>
      </c>
      <c r="I32" s="48">
        <f>+G32/G86</f>
        <v>7.4151555212581448E-3</v>
      </c>
      <c r="J32" s="49">
        <f t="shared" si="1"/>
        <v>1.2235006610075938</v>
      </c>
      <c r="K32" s="45">
        <f t="shared" si="17"/>
        <v>0.49434370141720974</v>
      </c>
      <c r="L32" s="51">
        <f t="shared" si="3"/>
        <v>0.33520234032179425</v>
      </c>
      <c r="M32" s="51">
        <f t="shared" si="4"/>
        <v>0.2398686563706004</v>
      </c>
      <c r="N32" s="51">
        <f t="shared" si="5"/>
        <v>0.34076456072247563</v>
      </c>
      <c r="O32" s="52">
        <f t="shared" si="6"/>
        <v>0.35103274488344316</v>
      </c>
      <c r="P32" s="51">
        <f t="shared" si="7"/>
        <v>5.5139092680696125E-2</v>
      </c>
      <c r="Q32" s="50">
        <f t="shared" si="8"/>
        <v>0.90124935228324832</v>
      </c>
      <c r="R32" s="51">
        <f t="shared" si="9"/>
        <v>0.35188739603326935</v>
      </c>
      <c r="S32" s="51">
        <f t="shared" si="13"/>
        <v>0.51640877608666025</v>
      </c>
      <c r="T32" s="12">
        <f t="shared" si="14"/>
        <v>0.43742442492589845</v>
      </c>
      <c r="U32" s="124">
        <f t="shared" si="2"/>
        <v>9.136491578947366</v>
      </c>
      <c r="V32" s="19">
        <f t="shared" si="15"/>
        <v>0.73091932631578926</v>
      </c>
      <c r="W32" s="12">
        <f t="shared" si="18"/>
        <v>1.3746855017543855</v>
      </c>
      <c r="X32" s="53">
        <f t="shared" si="16"/>
        <v>16.396535087719293</v>
      </c>
      <c r="Y32" s="19">
        <f t="shared" si="10"/>
        <v>1.3946189578735471</v>
      </c>
      <c r="AA32" s="3"/>
      <c r="AB32" s="54">
        <f t="shared" si="11"/>
        <v>0.9860538104212645</v>
      </c>
    </row>
    <row r="33" spans="1:28" x14ac:dyDescent="0.25">
      <c r="A33" s="41">
        <v>22</v>
      </c>
      <c r="B33" s="42">
        <v>39601</v>
      </c>
      <c r="C33" s="43"/>
      <c r="D33" s="55">
        <v>180</v>
      </c>
      <c r="E33" s="56">
        <f t="shared" si="12"/>
        <v>15</v>
      </c>
      <c r="F33" s="125">
        <f>+'[1]Con 8hE'!E35</f>
        <v>0.91014912280701743</v>
      </c>
      <c r="G33" s="47">
        <f t="shared" si="0"/>
        <v>13.652236842105262</v>
      </c>
      <c r="H33" s="47">
        <f>+F33/G86</f>
        <v>7.7413132843239863E-4</v>
      </c>
      <c r="I33" s="48">
        <f>+G33/G86</f>
        <v>1.161196992648598E-2</v>
      </c>
      <c r="J33" s="49">
        <f t="shared" si="1"/>
        <v>2.0901545867674765</v>
      </c>
      <c r="K33" s="45">
        <f t="shared" si="17"/>
        <v>0.77413132843239862</v>
      </c>
      <c r="L33" s="51">
        <f t="shared" si="3"/>
        <v>0.36567528035104824</v>
      </c>
      <c r="M33" s="51">
        <f t="shared" si="4"/>
        <v>0.37562902303219869</v>
      </c>
      <c r="N33" s="51">
        <f t="shared" si="5"/>
        <v>0.36615823705910477</v>
      </c>
      <c r="O33" s="52">
        <f t="shared" si="6"/>
        <v>0.37317509728929021</v>
      </c>
      <c r="P33" s="51">
        <f t="shared" si="7"/>
        <v>9.1680484615581856E-2</v>
      </c>
      <c r="Q33" s="50">
        <f t="shared" si="8"/>
        <v>1.0143977339901007</v>
      </c>
      <c r="R33" s="51">
        <f t="shared" si="9"/>
        <v>0.38387715930902111</v>
      </c>
      <c r="S33" s="51">
        <f t="shared" si="13"/>
        <v>0.64285432187755498</v>
      </c>
      <c r="T33" s="12">
        <f t="shared" si="14"/>
        <v>0.40802546609881973</v>
      </c>
      <c r="U33" s="124">
        <f t="shared" si="2"/>
        <v>14.307544210526315</v>
      </c>
      <c r="V33" s="19">
        <f t="shared" si="15"/>
        <v>1.144603536842105</v>
      </c>
      <c r="W33" s="12">
        <f t="shared" si="18"/>
        <v>2.5192890385964906</v>
      </c>
      <c r="X33" s="53">
        <f t="shared" si="16"/>
        <v>30.048771929824554</v>
      </c>
      <c r="Y33" s="19">
        <f t="shared" si="10"/>
        <v>2.5558196759228164</v>
      </c>
      <c r="AB33" s="54">
        <f t="shared" si="11"/>
        <v>0.97444180324077179</v>
      </c>
    </row>
    <row r="34" spans="1:28" x14ac:dyDescent="0.25">
      <c r="A34" s="41">
        <v>23</v>
      </c>
      <c r="B34" s="42">
        <v>39601</v>
      </c>
      <c r="C34" s="43"/>
      <c r="D34" s="63">
        <v>195</v>
      </c>
      <c r="E34" s="56">
        <f t="shared" si="12"/>
        <v>15</v>
      </c>
      <c r="F34" s="125">
        <f>+'[1]Con 8hE'!E36</f>
        <v>1.2281315789473684</v>
      </c>
      <c r="G34" s="47">
        <f t="shared" si="0"/>
        <v>18.421973684210524</v>
      </c>
      <c r="H34" s="47">
        <f>+F34/G86</f>
        <v>1.0445927012137479E-3</v>
      </c>
      <c r="I34" s="48">
        <f>+G34/G86</f>
        <v>1.5668890518206219E-2</v>
      </c>
      <c r="J34" s="49">
        <f t="shared" si="1"/>
        <v>3.0554336510502127</v>
      </c>
      <c r="K34" s="45">
        <f t="shared" si="17"/>
        <v>1.0445927012137479</v>
      </c>
      <c r="L34" s="51">
        <f t="shared" si="3"/>
        <v>0.39614822038030229</v>
      </c>
      <c r="M34" s="51">
        <f t="shared" si="4"/>
        <v>0.50686404413841035</v>
      </c>
      <c r="N34" s="51">
        <f t="shared" si="5"/>
        <v>0.39211985248339637</v>
      </c>
      <c r="O34" s="52">
        <f t="shared" si="6"/>
        <v>0.3955773632309218</v>
      </c>
      <c r="P34" s="51">
        <f t="shared" si="7"/>
        <v>0.13885988420607054</v>
      </c>
      <c r="Q34" s="50">
        <f t="shared" si="8"/>
        <v>1.1210102364078638</v>
      </c>
      <c r="R34" s="51">
        <f t="shared" si="9"/>
        <v>0.41586692258477287</v>
      </c>
      <c r="S34" s="51">
        <f t="shared" si="13"/>
        <v>0.75992314703698294</v>
      </c>
      <c r="T34" s="12">
        <f t="shared" si="14"/>
        <v>0.37717554547906845</v>
      </c>
      <c r="U34" s="124">
        <f t="shared" si="2"/>
        <v>19.30622842105263</v>
      </c>
      <c r="V34" s="19">
        <f t="shared" si="15"/>
        <v>1.5444982736842103</v>
      </c>
      <c r="W34" s="12">
        <f t="shared" si="18"/>
        <v>4.0637873122807004</v>
      </c>
      <c r="X34" s="53">
        <f t="shared" si="16"/>
        <v>48.470745614035081</v>
      </c>
      <c r="Y34" s="19">
        <f t="shared" si="10"/>
        <v>4.1227137547023123</v>
      </c>
      <c r="AB34" s="54">
        <f t="shared" si="11"/>
        <v>0.95877286245297688</v>
      </c>
    </row>
    <row r="35" spans="1:28" x14ac:dyDescent="0.25">
      <c r="A35" s="41">
        <v>24</v>
      </c>
      <c r="B35" s="42">
        <v>39601</v>
      </c>
      <c r="C35" s="43"/>
      <c r="D35" s="55">
        <v>210</v>
      </c>
      <c r="E35" s="56">
        <f t="shared" si="12"/>
        <v>15</v>
      </c>
      <c r="F35" s="72">
        <f>+'[1]Con 8hE'!E37</f>
        <v>1.7983070175438598</v>
      </c>
      <c r="G35" s="47">
        <f t="shared" si="0"/>
        <v>26.974605263157898</v>
      </c>
      <c r="H35" s="47">
        <f>+F35/G86</f>
        <v>1.5295579213734087E-3</v>
      </c>
      <c r="I35" s="48">
        <f>+G35/G86</f>
        <v>2.2943368820601131E-2</v>
      </c>
      <c r="J35" s="49">
        <f t="shared" si="1"/>
        <v>4.8181074523262373</v>
      </c>
      <c r="K35" s="45">
        <f t="shared" si="17"/>
        <v>1.5295579213734087</v>
      </c>
      <c r="L35" s="51">
        <f t="shared" si="3"/>
        <v>0.42662116040955633</v>
      </c>
      <c r="M35" s="51">
        <f t="shared" si="4"/>
        <v>0.74218201301851416</v>
      </c>
      <c r="N35" s="51">
        <f t="shared" si="5"/>
        <v>0.41850869807713104</v>
      </c>
      <c r="O35" s="52">
        <f t="shared" si="6"/>
        <v>0.41812290565100735</v>
      </c>
      <c r="P35" s="51">
        <f t="shared" si="7"/>
        <v>0.19549756620748385</v>
      </c>
      <c r="Q35" s="50">
        <f t="shared" si="8"/>
        <v>1.2196359078660794</v>
      </c>
      <c r="R35" s="51">
        <f t="shared" si="9"/>
        <v>0.44785668586052463</v>
      </c>
      <c r="S35" s="51">
        <f t="shared" si="13"/>
        <v>0.86313241027824161</v>
      </c>
      <c r="T35" s="12">
        <f t="shared" si="14"/>
        <v>0.22796222170510994</v>
      </c>
      <c r="U35" s="124">
        <f t="shared" si="2"/>
        <v>28.269386315789479</v>
      </c>
      <c r="V35" s="19">
        <f t="shared" si="15"/>
        <v>2.2615509052631584</v>
      </c>
      <c r="W35" s="12">
        <f t="shared" si="18"/>
        <v>6.3253382175438588</v>
      </c>
      <c r="X35" s="53">
        <f t="shared" si="16"/>
        <v>75.445350877192979</v>
      </c>
      <c r="Y35" s="19">
        <f t="shared" si="10"/>
        <v>6.4170579975497981</v>
      </c>
      <c r="Z35" s="73">
        <f>+((([1]Resumen!N7-F34)*(D35-D34))/(F35-F34))+D34</f>
        <v>199.32611538461538</v>
      </c>
      <c r="AA35" s="74" t="s">
        <v>74</v>
      </c>
      <c r="AB35" s="54">
        <f t="shared" si="11"/>
        <v>0.93582942002450198</v>
      </c>
    </row>
    <row r="36" spans="1:28" x14ac:dyDescent="0.25">
      <c r="A36" s="41">
        <v>25</v>
      </c>
      <c r="B36" s="42">
        <v>39601</v>
      </c>
      <c r="C36" s="43"/>
      <c r="D36" s="126">
        <v>225</v>
      </c>
      <c r="E36" s="56">
        <f t="shared" si="12"/>
        <v>15</v>
      </c>
      <c r="F36" s="72">
        <f>+'[1]Con 8hE'!E38</f>
        <v>2.2478684210526314</v>
      </c>
      <c r="G36" s="47">
        <f t="shared" si="0"/>
        <v>33.718026315789473</v>
      </c>
      <c r="H36" s="47">
        <f>+F36/G86</f>
        <v>1.9119343449608332E-3</v>
      </c>
      <c r="I36" s="48">
        <f>+G36/G86</f>
        <v>2.86790151744125E-2</v>
      </c>
      <c r="J36" s="49">
        <f t="shared" si="1"/>
        <v>6.4527784142428128</v>
      </c>
      <c r="K36" s="45">
        <f t="shared" si="17"/>
        <v>1.9119343449608333</v>
      </c>
      <c r="L36" s="51">
        <f t="shared" si="3"/>
        <v>0.45709410043881032</v>
      </c>
      <c r="M36" s="51">
        <f t="shared" si="4"/>
        <v>0.92772118078936494</v>
      </c>
      <c r="N36" s="51">
        <f t="shared" si="5"/>
        <v>0.44516989019874359</v>
      </c>
      <c r="O36" s="52">
        <f t="shared" si="6"/>
        <v>0.44068700086719159</v>
      </c>
      <c r="P36" s="51">
        <f t="shared" si="7"/>
        <v>0.25965542373257317</v>
      </c>
      <c r="Q36" s="50">
        <f t="shared" si="8"/>
        <v>1.309201846017358</v>
      </c>
      <c r="R36" s="51">
        <f t="shared" si="9"/>
        <v>0.47984644913627639</v>
      </c>
      <c r="S36" s="51">
        <f t="shared" si="13"/>
        <v>0.95004674691800817</v>
      </c>
      <c r="T36" s="12">
        <f t="shared" si="14"/>
        <v>0.14552749794279213</v>
      </c>
      <c r="U36" s="124">
        <f t="shared" si="2"/>
        <v>35.336491578947367</v>
      </c>
      <c r="V36" s="19">
        <f t="shared" si="15"/>
        <v>2.8269193263157892</v>
      </c>
      <c r="W36" s="12">
        <f t="shared" si="18"/>
        <v>9.1522575438596476</v>
      </c>
      <c r="X36" s="53">
        <f t="shared" si="16"/>
        <v>109.16337719298245</v>
      </c>
      <c r="Y36" s="19">
        <f t="shared" si="10"/>
        <v>9.2849687159124308</v>
      </c>
      <c r="Z36" s="19"/>
      <c r="AB36" s="54">
        <f t="shared" si="11"/>
        <v>0.90715031284087566</v>
      </c>
    </row>
    <row r="37" spans="1:28" x14ac:dyDescent="0.25">
      <c r="A37" s="41">
        <v>26</v>
      </c>
      <c r="B37" s="42">
        <v>39601</v>
      </c>
      <c r="C37" s="43"/>
      <c r="D37" s="55">
        <v>240</v>
      </c>
      <c r="E37" s="56">
        <f t="shared" si="12"/>
        <v>15</v>
      </c>
      <c r="F37" s="72">
        <f>+'[1]Con 8hE'!E39</f>
        <v>2.5877807017543861</v>
      </c>
      <c r="G37" s="47">
        <f t="shared" si="0"/>
        <v>38.816710526315795</v>
      </c>
      <c r="H37" s="47">
        <f>+F37/G86</f>
        <v>2.2010482262098622E-3</v>
      </c>
      <c r="I37" s="48">
        <f>+G37/G86</f>
        <v>3.3015723393147935E-2</v>
      </c>
      <c r="J37" s="49">
        <f t="shared" si="1"/>
        <v>7.923773614355504</v>
      </c>
      <c r="K37" s="45">
        <f t="shared" si="17"/>
        <v>2.2010482262098621</v>
      </c>
      <c r="L37" s="51">
        <f t="shared" si="3"/>
        <v>0.48756704046806437</v>
      </c>
      <c r="M37" s="51">
        <f t="shared" si="4"/>
        <v>1.06800689300635</v>
      </c>
      <c r="N37" s="51">
        <f t="shared" si="5"/>
        <v>0.4719355706228775</v>
      </c>
      <c r="O37" s="52">
        <f t="shared" si="6"/>
        <v>0.46313784697833343</v>
      </c>
      <c r="P37" s="51">
        <f t="shared" si="7"/>
        <v>0.32896906255409425</v>
      </c>
      <c r="Q37" s="50">
        <f t="shared" si="8"/>
        <v>1.38897277677913</v>
      </c>
      <c r="R37" s="51">
        <f t="shared" si="9"/>
        <v>0.51183621241202815</v>
      </c>
      <c r="S37" s="51">
        <f t="shared" si="13"/>
        <v>1.0198216048879742</v>
      </c>
      <c r="T37" s="12">
        <f t="shared" si="14"/>
        <v>0.10301909854604173</v>
      </c>
      <c r="U37" s="124">
        <f t="shared" si="2"/>
        <v>40.679912631578951</v>
      </c>
      <c r="V37" s="19">
        <f t="shared" si="15"/>
        <v>3.2543930105263157</v>
      </c>
      <c r="W37" s="12">
        <f t="shared" si="18"/>
        <v>12.406650554385964</v>
      </c>
      <c r="X37" s="53">
        <f t="shared" si="16"/>
        <v>147.98008771929824</v>
      </c>
      <c r="Y37" s="19">
        <f t="shared" si="10"/>
        <v>12.586551647469443</v>
      </c>
      <c r="Z37" s="77">
        <f>+(((10-Y36)*(D37-D36))/(Y37-Y36))+D36</f>
        <v>228.24858393190669</v>
      </c>
      <c r="AA37" s="66" t="s">
        <v>117</v>
      </c>
      <c r="AB37" s="54">
        <f t="shared" si="11"/>
        <v>0.87413448352530554</v>
      </c>
    </row>
    <row r="38" spans="1:28" x14ac:dyDescent="0.25">
      <c r="A38" s="41">
        <v>27</v>
      </c>
      <c r="B38" s="42">
        <v>39601</v>
      </c>
      <c r="C38" s="43"/>
      <c r="D38" s="63">
        <v>255</v>
      </c>
      <c r="E38" s="56">
        <f t="shared" si="12"/>
        <v>15</v>
      </c>
      <c r="F38" s="72">
        <f>+'[1]Con 8hE'!E40</f>
        <v>2.7522543859649122</v>
      </c>
      <c r="G38" s="47">
        <f t="shared" si="0"/>
        <v>41.283815789473685</v>
      </c>
      <c r="H38" s="47">
        <f>+F38/G86</f>
        <v>2.3409420397174563E-3</v>
      </c>
      <c r="I38" s="48">
        <f>+G38/G86</f>
        <v>3.5114130595761843E-2</v>
      </c>
      <c r="J38" s="49">
        <f t="shared" si="1"/>
        <v>8.95410330191927</v>
      </c>
      <c r="K38" s="45">
        <f t="shared" si="17"/>
        <v>2.3409420397174561</v>
      </c>
      <c r="L38" s="51">
        <f t="shared" si="3"/>
        <v>0.51803998049731836</v>
      </c>
      <c r="M38" s="51">
        <f t="shared" si="4"/>
        <v>1.1358870763371491</v>
      </c>
      <c r="N38" s="51">
        <f t="shared" si="5"/>
        <v>0.49862641029678784</v>
      </c>
      <c r="O38" s="52">
        <f t="shared" si="6"/>
        <v>0.48533773221945531</v>
      </c>
      <c r="P38" s="51">
        <f t="shared" si="7"/>
        <v>0.4009452074365904</v>
      </c>
      <c r="Q38" s="50">
        <f t="shared" si="8"/>
        <v>1.4585088363779959</v>
      </c>
      <c r="R38" s="51">
        <f t="shared" si="9"/>
        <v>0.54382597568777991</v>
      </c>
      <c r="S38" s="51">
        <f t="shared" si="13"/>
        <v>1.0727452310724572</v>
      </c>
      <c r="T38" s="12">
        <f t="shared" si="14"/>
        <v>0.10408480005185371</v>
      </c>
      <c r="U38" s="124">
        <f t="shared" si="2"/>
        <v>43.265438947368423</v>
      </c>
      <c r="V38" s="19">
        <f t="shared" si="15"/>
        <v>3.4612351157894738</v>
      </c>
      <c r="W38" s="12">
        <f t="shared" si="18"/>
        <v>15.867885670175438</v>
      </c>
      <c r="X38" s="53">
        <f t="shared" si="16"/>
        <v>189.26390350877193</v>
      </c>
      <c r="Y38" s="19">
        <f t="shared" si="10"/>
        <v>16.097975972507605</v>
      </c>
      <c r="Z38" s="19"/>
      <c r="AA38" s="66"/>
      <c r="AB38" s="54">
        <f t="shared" si="11"/>
        <v>0.83902024027492395</v>
      </c>
    </row>
    <row r="39" spans="1:28" x14ac:dyDescent="0.25">
      <c r="A39" s="41">
        <v>28</v>
      </c>
      <c r="B39" s="42">
        <v>39601</v>
      </c>
      <c r="C39" s="43"/>
      <c r="D39" s="55">
        <v>270</v>
      </c>
      <c r="E39" s="56">
        <f t="shared" si="12"/>
        <v>15</v>
      </c>
      <c r="F39" s="72">
        <f>+'[1]Con 8hE'!E41</f>
        <v>2.7741842105263155</v>
      </c>
      <c r="G39" s="47">
        <f t="shared" si="0"/>
        <v>41.612763157894733</v>
      </c>
      <c r="H39" s="47">
        <f>+F39/G86</f>
        <v>2.3595945481851353E-3</v>
      </c>
      <c r="I39" s="48">
        <f>+G39/G86</f>
        <v>3.5393918222777029E-2</v>
      </c>
      <c r="J39" s="49">
        <f t="shared" si="1"/>
        <v>9.5563579201497983</v>
      </c>
      <c r="K39" s="45">
        <f t="shared" si="17"/>
        <v>2.3595945481851355</v>
      </c>
      <c r="L39" s="51">
        <f t="shared" si="3"/>
        <v>0.54851292052657241</v>
      </c>
      <c r="M39" s="51">
        <f t="shared" si="4"/>
        <v>1.1449377674479222</v>
      </c>
      <c r="N39" s="51">
        <f t="shared" si="5"/>
        <v>0.52505340475646001</v>
      </c>
      <c r="O39" s="52">
        <f t="shared" si="6"/>
        <v>0.5071443512949575</v>
      </c>
      <c r="P39" s="51">
        <f t="shared" si="7"/>
        <v>0.4731908689363612</v>
      </c>
      <c r="Q39" s="50">
        <f t="shared" si="8"/>
        <v>1.5176237258563496</v>
      </c>
      <c r="R39" s="51">
        <f t="shared" si="9"/>
        <v>0.57581573896353166</v>
      </c>
      <c r="S39" s="51">
        <f t="shared" si="13"/>
        <v>1.1098473198693835</v>
      </c>
      <c r="T39" s="12">
        <f t="shared" si="14"/>
        <v>0.13889482359480812</v>
      </c>
      <c r="U39" s="124">
        <f t="shared" si="2"/>
        <v>43.610175789473686</v>
      </c>
      <c r="V39" s="19">
        <f t="shared" si="15"/>
        <v>3.4888140631578946</v>
      </c>
      <c r="W39" s="12">
        <f t="shared" si="18"/>
        <v>19.356699733333333</v>
      </c>
      <c r="X39" s="53">
        <f t="shared" si="16"/>
        <v>230.87666666666667</v>
      </c>
      <c r="Y39" s="19">
        <f t="shared" si="10"/>
        <v>19.637379150009924</v>
      </c>
      <c r="Z39" s="19"/>
      <c r="AA39" s="3"/>
      <c r="AB39" s="54">
        <f t="shared" si="11"/>
        <v>0.80362620849990074</v>
      </c>
    </row>
    <row r="40" spans="1:28" x14ac:dyDescent="0.25">
      <c r="A40" s="41">
        <v>29</v>
      </c>
      <c r="B40" s="42">
        <v>39601</v>
      </c>
      <c r="C40" s="43"/>
      <c r="D40" s="127">
        <v>285</v>
      </c>
      <c r="E40" s="56">
        <f t="shared" si="12"/>
        <v>15</v>
      </c>
      <c r="F40" s="78">
        <f>+'[1]Con 8hE'!E42</f>
        <v>2.7851491228070175</v>
      </c>
      <c r="G40" s="57">
        <f t="shared" si="0"/>
        <v>41.77723684210526</v>
      </c>
      <c r="H40" s="57">
        <f>+F40/G86</f>
        <v>2.3689208024189751E-3</v>
      </c>
      <c r="I40" s="102">
        <f>+G40/G86</f>
        <v>3.5533812036284626E-2</v>
      </c>
      <c r="J40" s="50">
        <f t="shared" si="1"/>
        <v>10.127136430341118</v>
      </c>
      <c r="K40" s="58">
        <f t="shared" si="17"/>
        <v>2.368920802418975</v>
      </c>
      <c r="L40" s="51">
        <f t="shared" si="3"/>
        <v>0.57898586055582646</v>
      </c>
      <c r="M40" s="51">
        <f t="shared" si="4"/>
        <v>1.1494631130033088</v>
      </c>
      <c r="N40" s="51">
        <f t="shared" si="5"/>
        <v>0.55101994144178623</v>
      </c>
      <c r="O40" s="52">
        <f t="shared" si="6"/>
        <v>0.52841225405410985</v>
      </c>
      <c r="P40" s="51">
        <f t="shared" si="7"/>
        <v>0.54356765728061629</v>
      </c>
      <c r="Q40" s="50">
        <f t="shared" si="8"/>
        <v>1.5663446688104035</v>
      </c>
      <c r="R40" s="51">
        <f t="shared" si="9"/>
        <v>0.60780550223928342</v>
      </c>
      <c r="S40" s="51">
        <f t="shared" si="13"/>
        <v>1.1325936504182892</v>
      </c>
      <c r="T40" s="12">
        <f t="shared" si="14"/>
        <v>0.17379023157214377</v>
      </c>
      <c r="U40" s="124">
        <f t="shared" si="2"/>
        <v>43.782544210526318</v>
      </c>
      <c r="V40" s="19">
        <f t="shared" si="15"/>
        <v>3.5026035368421056</v>
      </c>
      <c r="W40" s="12">
        <f t="shared" si="18"/>
        <v>22.859303270175438</v>
      </c>
      <c r="X40" s="53">
        <f t="shared" si="16"/>
        <v>272.65390350877192</v>
      </c>
      <c r="Y40" s="19">
        <f t="shared" si="10"/>
        <v>23.190771753744315</v>
      </c>
      <c r="Z40" s="71" t="s">
        <v>76</v>
      </c>
      <c r="AB40" s="54">
        <f t="shared" si="11"/>
        <v>0.7680922824625569</v>
      </c>
    </row>
    <row r="41" spans="1:28" x14ac:dyDescent="0.25">
      <c r="A41" s="41">
        <v>30</v>
      </c>
      <c r="B41" s="42">
        <v>39601</v>
      </c>
      <c r="C41" s="43"/>
      <c r="D41" s="55">
        <v>300</v>
      </c>
      <c r="E41" s="56">
        <f t="shared" si="12"/>
        <v>15</v>
      </c>
      <c r="F41" s="72">
        <f>+'[1]Con 8hE'!E43</f>
        <v>2.7193596491228069</v>
      </c>
      <c r="G41" s="47">
        <f t="shared" si="0"/>
        <v>40.790394736842103</v>
      </c>
      <c r="H41" s="47">
        <f>+F41/G86</f>
        <v>2.3129632770159374E-3</v>
      </c>
      <c r="I41" s="48">
        <f>+G41/G86</f>
        <v>3.469444915523906E-2</v>
      </c>
      <c r="J41" s="49">
        <f t="shared" si="1"/>
        <v>10.408334746571718</v>
      </c>
      <c r="K41" s="45">
        <f t="shared" si="17"/>
        <v>2.3129632770159376</v>
      </c>
      <c r="L41" s="51">
        <f t="shared" si="3"/>
        <v>0.6094588005850804</v>
      </c>
      <c r="M41" s="51">
        <f t="shared" si="4"/>
        <v>1.1223110396709892</v>
      </c>
      <c r="N41" s="51">
        <f t="shared" si="5"/>
        <v>0.57632411142476403</v>
      </c>
      <c r="O41" s="52">
        <f t="shared" si="6"/>
        <v>0.54899440738743366</v>
      </c>
      <c r="P41" s="51">
        <f t="shared" si="7"/>
        <v>0.61027936905689373</v>
      </c>
      <c r="Q41" s="50">
        <f t="shared" si="8"/>
        <v>1.6048750716809363</v>
      </c>
      <c r="R41" s="51">
        <f t="shared" si="9"/>
        <v>0.63979526551503518</v>
      </c>
      <c r="S41" s="51">
        <f t="shared" si="13"/>
        <v>1.1426625423716426</v>
      </c>
      <c r="T41" s="12">
        <f t="shared" si="14"/>
        <v>0.23286804498969726</v>
      </c>
      <c r="U41" s="124">
        <f t="shared" si="2"/>
        <v>42.748333684210522</v>
      </c>
      <c r="V41" s="19">
        <f t="shared" si="15"/>
        <v>3.4198666947368417</v>
      </c>
      <c r="W41" s="12">
        <f t="shared" si="18"/>
        <v>26.279169964912281</v>
      </c>
      <c r="X41" s="53">
        <f t="shared" si="16"/>
        <v>313.44429824561405</v>
      </c>
      <c r="Y41" s="19">
        <f t="shared" si="10"/>
        <v>26.66022780008625</v>
      </c>
      <c r="Z41" s="19"/>
      <c r="AA41" s="71"/>
      <c r="AB41" s="54">
        <f t="shared" si="11"/>
        <v>0.73339772199913744</v>
      </c>
    </row>
    <row r="42" spans="1:28" x14ac:dyDescent="0.25">
      <c r="A42" s="41">
        <v>31</v>
      </c>
      <c r="B42" s="42">
        <v>39601</v>
      </c>
      <c r="C42" s="43"/>
      <c r="D42" s="55">
        <v>320</v>
      </c>
      <c r="E42" s="56">
        <f t="shared" si="12"/>
        <v>20</v>
      </c>
      <c r="F42" s="72">
        <f>+'[1]Con 8hE'!E44</f>
        <v>2.6535701754385963</v>
      </c>
      <c r="G42" s="47">
        <f t="shared" si="0"/>
        <v>53.071403508771922</v>
      </c>
      <c r="H42" s="47">
        <f>+F42/G86</f>
        <v>2.2570057516128994E-3</v>
      </c>
      <c r="I42" s="48">
        <f>+G42/G86</f>
        <v>4.5140115032257989E-2</v>
      </c>
      <c r="J42" s="49">
        <f t="shared" si="1"/>
        <v>14.444836810322556</v>
      </c>
      <c r="K42" s="45">
        <f t="shared" si="17"/>
        <v>2.2570057516128994</v>
      </c>
      <c r="L42" s="51">
        <f t="shared" si="3"/>
        <v>0.6500893872907525</v>
      </c>
      <c r="M42" s="51">
        <f t="shared" si="4"/>
        <v>1.0951589663386696</v>
      </c>
      <c r="N42" s="51">
        <f t="shared" si="5"/>
        <v>0.60867881576999461</v>
      </c>
      <c r="O42" s="52">
        <f t="shared" si="6"/>
        <v>0.57511677052211452</v>
      </c>
      <c r="P42" s="51">
        <f t="shared" si="7"/>
        <v>0.69112883335159603</v>
      </c>
      <c r="Q42" s="50">
        <f t="shared" si="8"/>
        <v>1.6410106857072861</v>
      </c>
      <c r="R42" s="51">
        <f t="shared" si="9"/>
        <v>0.68244828321603757</v>
      </c>
      <c r="S42" s="51">
        <f t="shared" si="13"/>
        <v>1.1393624137901757</v>
      </c>
      <c r="T42" s="12">
        <f t="shared" si="14"/>
        <v>0.29795409953767488</v>
      </c>
      <c r="U42" s="124">
        <f t="shared" si="2"/>
        <v>55.618830877192984</v>
      </c>
      <c r="V42" s="19">
        <f t="shared" si="15"/>
        <v>4.4495064701754385</v>
      </c>
      <c r="W42" s="12">
        <f t="shared" si="18"/>
        <v>30.728676435087721</v>
      </c>
      <c r="X42" s="53">
        <f t="shared" si="16"/>
        <v>366.51570175438599</v>
      </c>
      <c r="Y42" s="19">
        <f t="shared" si="10"/>
        <v>31.174253785352214</v>
      </c>
      <c r="Z42" s="19"/>
      <c r="AA42" s="71"/>
      <c r="AB42" s="54">
        <f t="shared" si="11"/>
        <v>0.68825746214647787</v>
      </c>
    </row>
    <row r="43" spans="1:28" x14ac:dyDescent="0.25">
      <c r="A43" s="41">
        <v>32</v>
      </c>
      <c r="B43" s="42">
        <v>39601</v>
      </c>
      <c r="C43" s="43"/>
      <c r="D43" s="55">
        <v>340</v>
      </c>
      <c r="E43" s="56">
        <f t="shared" si="12"/>
        <v>20</v>
      </c>
      <c r="F43" s="72">
        <f>+'[1]Con 8hE'!E45</f>
        <v>2.5548859649122808</v>
      </c>
      <c r="G43" s="47">
        <f t="shared" si="0"/>
        <v>51.097719298245615</v>
      </c>
      <c r="H43" s="47">
        <f>+F43/G86</f>
        <v>2.1730694635083429E-3</v>
      </c>
      <c r="I43" s="48">
        <f>+G43/G86</f>
        <v>4.3461389270166864E-2</v>
      </c>
      <c r="J43" s="49">
        <f t="shared" si="1"/>
        <v>14.776872351856733</v>
      </c>
      <c r="K43" s="45">
        <f t="shared" si="17"/>
        <v>2.1730694635083427</v>
      </c>
      <c r="L43" s="51">
        <f t="shared" si="3"/>
        <v>0.69071997399642449</v>
      </c>
      <c r="M43" s="51">
        <f t="shared" si="4"/>
        <v>1.0544308563401901</v>
      </c>
      <c r="N43" s="51">
        <f t="shared" si="5"/>
        <v>0.63900796362798773</v>
      </c>
      <c r="O43" s="52">
        <f t="shared" si="6"/>
        <v>0.5994163589347814</v>
      </c>
      <c r="P43" s="51">
        <f t="shared" si="7"/>
        <v>0.760643294747121</v>
      </c>
      <c r="Q43" s="50">
        <f t="shared" si="8"/>
        <v>1.6607711532600629</v>
      </c>
      <c r="R43" s="51">
        <f t="shared" si="9"/>
        <v>0.72510130091703995</v>
      </c>
      <c r="S43" s="51">
        <f t="shared" si="13"/>
        <v>1.1205676196449688</v>
      </c>
      <c r="T43" s="12">
        <f t="shared" si="14"/>
        <v>0.3676485556688795</v>
      </c>
      <c r="U43" s="124">
        <f t="shared" si="2"/>
        <v>53.550409824561413</v>
      </c>
      <c r="V43" s="19">
        <f t="shared" si="15"/>
        <v>4.2840327859649125</v>
      </c>
      <c r="W43" s="12">
        <f t="shared" si="18"/>
        <v>35.012709221052631</v>
      </c>
      <c r="X43" s="53">
        <f t="shared" si="16"/>
        <v>417.61342105263162</v>
      </c>
      <c r="Y43" s="19">
        <f t="shared" si="10"/>
        <v>35.520406655833256</v>
      </c>
      <c r="Z43" s="19"/>
      <c r="AA43" s="71"/>
      <c r="AB43" s="54">
        <f t="shared" si="11"/>
        <v>0.64479593344166752</v>
      </c>
    </row>
    <row r="44" spans="1:28" x14ac:dyDescent="0.25">
      <c r="A44" s="41">
        <v>33</v>
      </c>
      <c r="B44" s="42">
        <v>39601</v>
      </c>
      <c r="C44" s="43"/>
      <c r="D44" s="55">
        <v>360</v>
      </c>
      <c r="E44" s="56">
        <f t="shared" si="12"/>
        <v>20</v>
      </c>
      <c r="F44" s="72">
        <f>+'[1]Con 8hE'!E46</f>
        <v>2.4233070175438596</v>
      </c>
      <c r="G44" s="47">
        <f t="shared" si="0"/>
        <v>48.46614035087719</v>
      </c>
      <c r="H44" s="47">
        <f>+F44/G86</f>
        <v>2.0611544127022673E-3</v>
      </c>
      <c r="I44" s="48">
        <f>+G44/G86</f>
        <v>4.1223088254045345E-2</v>
      </c>
      <c r="J44" s="49">
        <f t="shared" si="1"/>
        <v>14.840311771456324</v>
      </c>
      <c r="K44" s="45">
        <f t="shared" si="17"/>
        <v>2.0611544127022672</v>
      </c>
      <c r="L44" s="51">
        <f t="shared" si="3"/>
        <v>0.73135056070209647</v>
      </c>
      <c r="M44" s="51">
        <f t="shared" si="4"/>
        <v>1.0001267096755508</v>
      </c>
      <c r="N44" s="51">
        <f t="shared" si="5"/>
        <v>0.66683907455734681</v>
      </c>
      <c r="O44" s="52">
        <f t="shared" si="6"/>
        <v>0.6215636359293194</v>
      </c>
      <c r="P44" s="51">
        <f t="shared" si="7"/>
        <v>0.81753670372193943</v>
      </c>
      <c r="Q44" s="50">
        <f t="shared" si="8"/>
        <v>1.6655124695164092</v>
      </c>
      <c r="R44" s="51">
        <f t="shared" si="9"/>
        <v>0.76775431861804222</v>
      </c>
      <c r="S44" s="51">
        <f t="shared" si="13"/>
        <v>1.0898693839020397</v>
      </c>
      <c r="T44" s="12">
        <f t="shared" si="14"/>
        <v>0.44273820939899644</v>
      </c>
      <c r="U44" s="124">
        <f t="shared" si="2"/>
        <v>50.792515087719295</v>
      </c>
      <c r="V44" s="19">
        <f t="shared" si="15"/>
        <v>4.0634012070175443</v>
      </c>
      <c r="W44" s="12">
        <f t="shared" si="18"/>
        <v>39.076110428070173</v>
      </c>
      <c r="X44" s="53">
        <f t="shared" si="16"/>
        <v>466.07956140350882</v>
      </c>
      <c r="Y44" s="19">
        <f t="shared" si="10"/>
        <v>39.642728706601069</v>
      </c>
      <c r="Z44" s="19"/>
      <c r="AA44" s="71"/>
      <c r="AB44" s="54">
        <f t="shared" si="11"/>
        <v>0.60357271293398929</v>
      </c>
    </row>
    <row r="45" spans="1:28" x14ac:dyDescent="0.25">
      <c r="A45" s="41">
        <v>34</v>
      </c>
      <c r="B45" s="42">
        <v>39601</v>
      </c>
      <c r="C45" s="43"/>
      <c r="D45" s="55">
        <v>380</v>
      </c>
      <c r="E45" s="56">
        <f t="shared" si="12"/>
        <v>20</v>
      </c>
      <c r="F45" s="72">
        <f>+'[1]Con 8hE'!E47</f>
        <v>2.2917280701754388</v>
      </c>
      <c r="G45" s="47">
        <f t="shared" si="0"/>
        <v>45.834561403508772</v>
      </c>
      <c r="H45" s="47">
        <f>+F45/G86</f>
        <v>1.949239361896192E-3</v>
      </c>
      <c r="I45" s="48">
        <f>+G45/G86</f>
        <v>3.898478723792384E-2</v>
      </c>
      <c r="J45" s="49">
        <f t="shared" si="1"/>
        <v>14.814219150411059</v>
      </c>
      <c r="K45" s="45">
        <f t="shared" si="17"/>
        <v>1.9492393618961921</v>
      </c>
      <c r="L45" s="51">
        <f t="shared" si="3"/>
        <v>0.77198114740776858</v>
      </c>
      <c r="M45" s="51">
        <f t="shared" si="4"/>
        <v>0.94582256301091161</v>
      </c>
      <c r="N45" s="51">
        <f t="shared" si="5"/>
        <v>0.69172344479094516</v>
      </c>
      <c r="O45" s="52">
        <f t="shared" si="6"/>
        <v>0.64124952068990981</v>
      </c>
      <c r="P45" s="51">
        <f t="shared" si="7"/>
        <v>0.86139179701128243</v>
      </c>
      <c r="Q45" s="50">
        <f t="shared" si="8"/>
        <v>1.6567392727358192</v>
      </c>
      <c r="R45" s="51">
        <f t="shared" si="9"/>
        <v>0.8104073363190446</v>
      </c>
      <c r="S45" s="51">
        <f t="shared" si="13"/>
        <v>1.0503824323890354</v>
      </c>
      <c r="T45" s="12">
        <f t="shared" si="14"/>
        <v>0.50540256816608853</v>
      </c>
      <c r="U45" s="124">
        <f t="shared" si="2"/>
        <v>48.034620350877198</v>
      </c>
      <c r="V45" s="19">
        <f t="shared" si="15"/>
        <v>3.842769628070176</v>
      </c>
      <c r="W45" s="12">
        <f t="shared" si="18"/>
        <v>42.918880056140353</v>
      </c>
      <c r="X45" s="53">
        <f t="shared" si="16"/>
        <v>511.91412280701758</v>
      </c>
      <c r="Y45" s="19">
        <f t="shared" si="10"/>
        <v>43.541219937655654</v>
      </c>
      <c r="Z45" s="19"/>
      <c r="AA45" s="71"/>
      <c r="AB45" s="54">
        <f t="shared" si="11"/>
        <v>0.56458780062344349</v>
      </c>
    </row>
    <row r="46" spans="1:28" x14ac:dyDescent="0.25">
      <c r="A46" s="41">
        <v>35</v>
      </c>
      <c r="B46" s="42">
        <v>39601</v>
      </c>
      <c r="C46" s="43"/>
      <c r="D46" s="55">
        <v>400</v>
      </c>
      <c r="E46" s="56">
        <f t="shared" si="12"/>
        <v>20</v>
      </c>
      <c r="F46" s="72">
        <f>+'[1]Con 8hE'!E48</f>
        <v>2.1820789473684208</v>
      </c>
      <c r="G46" s="47">
        <f t="shared" si="0"/>
        <v>43.641578947368416</v>
      </c>
      <c r="H46" s="47">
        <f>+F46/G86</f>
        <v>1.8559768195577954E-3</v>
      </c>
      <c r="I46" s="48">
        <f>+G46/G86</f>
        <v>3.7119536391155908E-2</v>
      </c>
      <c r="J46" s="49">
        <f t="shared" si="1"/>
        <v>14.847814556462364</v>
      </c>
      <c r="K46" s="45">
        <f t="shared" si="17"/>
        <v>1.8559768195577955</v>
      </c>
      <c r="L46" s="51">
        <f t="shared" si="3"/>
        <v>0.81261173411344056</v>
      </c>
      <c r="M46" s="51">
        <f t="shared" si="4"/>
        <v>0.90056910745704533</v>
      </c>
      <c r="N46" s="51">
        <f t="shared" si="5"/>
        <v>0.71324812234803325</v>
      </c>
      <c r="O46" s="52">
        <f t="shared" si="6"/>
        <v>0.65819254098886693</v>
      </c>
      <c r="P46" s="51">
        <f t="shared" si="7"/>
        <v>0.89245877185280897</v>
      </c>
      <c r="Q46" s="50">
        <f t="shared" si="8"/>
        <v>1.6360294540965423</v>
      </c>
      <c r="R46" s="51">
        <f t="shared" si="9"/>
        <v>0.85306035402004698</v>
      </c>
      <c r="S46" s="51">
        <f t="shared" si="13"/>
        <v>1.0047243945388611</v>
      </c>
      <c r="T46" s="12">
        <f t="shared" si="14"/>
        <v>0.54090192147908911</v>
      </c>
      <c r="U46" s="124">
        <f t="shared" si="2"/>
        <v>45.736374736842095</v>
      </c>
      <c r="V46" s="19">
        <f t="shared" si="15"/>
        <v>3.6589099789473676</v>
      </c>
      <c r="W46" s="12">
        <f t="shared" si="18"/>
        <v>46.577790035087723</v>
      </c>
      <c r="X46" s="53">
        <f t="shared" si="16"/>
        <v>555.55570175438595</v>
      </c>
      <c r="Y46" s="19">
        <f t="shared" si="10"/>
        <v>47.253185485615887</v>
      </c>
      <c r="Z46" s="19"/>
      <c r="AA46" s="3"/>
      <c r="AB46" s="54">
        <f t="shared" si="11"/>
        <v>0.52746814514384111</v>
      </c>
    </row>
    <row r="47" spans="1:28" x14ac:dyDescent="0.25">
      <c r="A47" s="41">
        <v>36</v>
      </c>
      <c r="B47" s="42">
        <v>39601</v>
      </c>
      <c r="C47" s="43"/>
      <c r="D47" s="82">
        <v>420</v>
      </c>
      <c r="E47" s="56">
        <f t="shared" si="12"/>
        <v>20</v>
      </c>
      <c r="F47" s="72">
        <f>+'[1]Con 8hE'!E49</f>
        <v>2.1162894736842106</v>
      </c>
      <c r="G47" s="47">
        <f t="shared" si="0"/>
        <v>42.32578947368421</v>
      </c>
      <c r="H47" s="47">
        <f>+F47/G86</f>
        <v>1.800019294154758E-3</v>
      </c>
      <c r="I47" s="48">
        <f>+G47/G86</f>
        <v>3.6000385883095155E-2</v>
      </c>
      <c r="J47" s="49">
        <f t="shared" si="1"/>
        <v>15.120162070899966</v>
      </c>
      <c r="K47" s="45">
        <f t="shared" si="17"/>
        <v>1.8000192941547579</v>
      </c>
      <c r="L47" s="51">
        <f t="shared" si="3"/>
        <v>0.85324232081911267</v>
      </c>
      <c r="M47" s="51">
        <f t="shared" si="4"/>
        <v>0.87341703412472582</v>
      </c>
      <c r="N47" s="51">
        <f t="shared" si="5"/>
        <v>0.73104727804789382</v>
      </c>
      <c r="O47" s="52">
        <f t="shared" si="6"/>
        <v>0.67214551787414067</v>
      </c>
      <c r="P47" s="51">
        <f t="shared" si="7"/>
        <v>0.91146609791217315</v>
      </c>
      <c r="Q47" s="50">
        <f t="shared" si="8"/>
        <v>1.6049745045351309</v>
      </c>
      <c r="R47" s="51">
        <f t="shared" si="9"/>
        <v>0.89571337172104926</v>
      </c>
      <c r="S47" s="51">
        <f t="shared" si="13"/>
        <v>0.95504168930018263</v>
      </c>
      <c r="T47" s="12">
        <f t="shared" si="14"/>
        <v>0.53517633251327068</v>
      </c>
      <c r="U47" s="124">
        <f t="shared" si="2"/>
        <v>44.357427368421057</v>
      </c>
      <c r="V47" s="19">
        <f t="shared" si="15"/>
        <v>3.5485941894736848</v>
      </c>
      <c r="W47" s="12">
        <f t="shared" si="18"/>
        <v>50.126384224561406</v>
      </c>
      <c r="X47" s="53">
        <f t="shared" si="16"/>
        <v>597.88149122807022</v>
      </c>
      <c r="Y47" s="19">
        <f t="shared" si="10"/>
        <v>50.853235623719506</v>
      </c>
      <c r="Z47" s="77">
        <f>+(((50-Y46)*(D47-D46))/(Y47-Y46))+D46</f>
        <v>415.25986810745383</v>
      </c>
      <c r="AA47" s="66" t="s">
        <v>77</v>
      </c>
      <c r="AB47" s="54">
        <f t="shared" si="11"/>
        <v>0.49146764376280494</v>
      </c>
    </row>
    <row r="48" spans="1:28" x14ac:dyDescent="0.25">
      <c r="A48" s="41">
        <v>37</v>
      </c>
      <c r="B48" s="42">
        <v>39601</v>
      </c>
      <c r="C48" s="43"/>
      <c r="D48" s="55">
        <v>440</v>
      </c>
      <c r="E48" s="56">
        <f t="shared" si="12"/>
        <v>20</v>
      </c>
      <c r="F48" s="72">
        <f>+'[1]Con 8hE'!E50</f>
        <v>1.9956754385964914</v>
      </c>
      <c r="G48" s="47">
        <f t="shared" si="0"/>
        <v>39.913508771929827</v>
      </c>
      <c r="H48" s="47">
        <f>+F48/G86</f>
        <v>1.697430497582522E-3</v>
      </c>
      <c r="I48" s="48">
        <f>+G48/G86</f>
        <v>3.3948609951650444E-2</v>
      </c>
      <c r="J48" s="49">
        <f t="shared" si="1"/>
        <v>14.937388378726196</v>
      </c>
      <c r="K48" s="45">
        <f t="shared" si="17"/>
        <v>1.6974304975825221</v>
      </c>
      <c r="L48" s="51">
        <f t="shared" si="3"/>
        <v>0.89387290752478465</v>
      </c>
      <c r="M48" s="51">
        <f t="shared" si="4"/>
        <v>0.82363823301547312</v>
      </c>
      <c r="N48" s="51">
        <f t="shared" si="5"/>
        <v>0.74481253610982379</v>
      </c>
      <c r="O48" s="52">
        <f t="shared" si="6"/>
        <v>0.68290156086910059</v>
      </c>
      <c r="P48" s="51">
        <f t="shared" si="7"/>
        <v>0.91945730852757079</v>
      </c>
      <c r="Q48" s="50">
        <f t="shared" si="8"/>
        <v>1.5651336103167748</v>
      </c>
      <c r="R48" s="51">
        <f t="shared" si="9"/>
        <v>0.93836638942205164</v>
      </c>
      <c r="S48" s="51">
        <f t="shared" si="13"/>
        <v>0.90305802121984402</v>
      </c>
      <c r="T48" s="12">
        <f t="shared" si="14"/>
        <v>0.5498153945591997</v>
      </c>
      <c r="U48" s="124">
        <f t="shared" si="2"/>
        <v>41.829357192982464</v>
      </c>
      <c r="V48" s="19">
        <f t="shared" si="15"/>
        <v>3.3463485754385971</v>
      </c>
      <c r="W48" s="12">
        <f t="shared" si="18"/>
        <v>53.472732800000003</v>
      </c>
      <c r="X48" s="53">
        <f t="shared" si="16"/>
        <v>637.79500000000007</v>
      </c>
      <c r="Y48" s="19">
        <f t="shared" si="10"/>
        <v>54.248107510419331</v>
      </c>
      <c r="Z48" s="19"/>
      <c r="AA48" s="66"/>
      <c r="AB48" s="54">
        <f t="shared" si="11"/>
        <v>0.4575189248958067</v>
      </c>
    </row>
    <row r="49" spans="1:28" x14ac:dyDescent="0.25">
      <c r="A49" s="41">
        <v>38</v>
      </c>
      <c r="B49" s="42">
        <v>39601</v>
      </c>
      <c r="C49" s="43"/>
      <c r="D49" s="55">
        <v>460</v>
      </c>
      <c r="E49" s="56">
        <f t="shared" si="12"/>
        <v>20</v>
      </c>
      <c r="F49" s="72">
        <f>+'[1]Con 8hE'!E51</f>
        <v>1.8312017543859649</v>
      </c>
      <c r="G49" s="47">
        <f t="shared" si="0"/>
        <v>36.624035087719299</v>
      </c>
      <c r="H49" s="47">
        <f>+F49/G86</f>
        <v>1.5575366840749276E-3</v>
      </c>
      <c r="I49" s="48">
        <f>+G49/G86</f>
        <v>3.1150733681498552E-2</v>
      </c>
      <c r="J49" s="49">
        <f t="shared" si="1"/>
        <v>14.329337493489334</v>
      </c>
      <c r="K49" s="45">
        <f t="shared" si="17"/>
        <v>1.5575366840749276</v>
      </c>
      <c r="L49" s="51">
        <f t="shared" si="3"/>
        <v>0.93450349423045664</v>
      </c>
      <c r="M49" s="51">
        <f t="shared" si="4"/>
        <v>0.75575804968467386</v>
      </c>
      <c r="N49" s="51">
        <f t="shared" si="5"/>
        <v>0.75430185721523724</v>
      </c>
      <c r="O49" s="52">
        <f t="shared" si="6"/>
        <v>0.69029917062267143</v>
      </c>
      <c r="P49" s="51">
        <f t="shared" si="7"/>
        <v>0.91765845391585754</v>
      </c>
      <c r="Q49" s="50">
        <f t="shared" si="8"/>
        <v>1.5179995114154599</v>
      </c>
      <c r="R49" s="51">
        <f t="shared" si="9"/>
        <v>0.98101940712305402</v>
      </c>
      <c r="S49" s="51">
        <f t="shared" si="13"/>
        <v>0.8501311975296495</v>
      </c>
      <c r="T49" s="12">
        <f t="shared" si="14"/>
        <v>0.58101204598148526</v>
      </c>
      <c r="U49" s="124">
        <f t="shared" si="2"/>
        <v>38.381988771929826</v>
      </c>
      <c r="V49" s="19">
        <f t="shared" si="15"/>
        <v>3.0705591017543861</v>
      </c>
      <c r="W49" s="12">
        <f t="shared" si="18"/>
        <v>56.543291901754387</v>
      </c>
      <c r="X49" s="53">
        <f t="shared" si="16"/>
        <v>674.41903508771941</v>
      </c>
      <c r="Y49" s="19">
        <f t="shared" si="10"/>
        <v>57.363190872477624</v>
      </c>
      <c r="AA49" s="66"/>
      <c r="AB49" s="54">
        <f t="shared" si="11"/>
        <v>0.42636809127522379</v>
      </c>
    </row>
    <row r="50" spans="1:28" x14ac:dyDescent="0.25">
      <c r="A50" s="41">
        <v>39</v>
      </c>
      <c r="B50" s="42">
        <v>39601</v>
      </c>
      <c r="C50" s="43"/>
      <c r="D50" s="55">
        <v>480</v>
      </c>
      <c r="E50" s="56">
        <f>+D50-D49</f>
        <v>20</v>
      </c>
      <c r="F50" s="72">
        <f>+'[1]Con 8hE'!E52</f>
        <v>1.7215526315789476</v>
      </c>
      <c r="G50" s="47">
        <f t="shared" si="0"/>
        <v>34.43105263157895</v>
      </c>
      <c r="H50" s="47">
        <f>+F50/G86</f>
        <v>1.4642741417365314E-3</v>
      </c>
      <c r="I50" s="48">
        <f>+G50/G86</f>
        <v>2.9285482834730626E-2</v>
      </c>
      <c r="J50" s="49">
        <f t="shared" si="1"/>
        <v>14.0570317606707</v>
      </c>
      <c r="K50" s="45">
        <f t="shared" si="17"/>
        <v>1.4642741417365315</v>
      </c>
      <c r="L50" s="51">
        <f t="shared" si="3"/>
        <v>0.97513408093612874</v>
      </c>
      <c r="M50" s="51">
        <f t="shared" si="4"/>
        <v>0.71050459413080791</v>
      </c>
      <c r="N50" s="51">
        <f t="shared" si="5"/>
        <v>0.75934661666068748</v>
      </c>
      <c r="O50" s="52">
        <f t="shared" si="6"/>
        <v>0.69422627317362706</v>
      </c>
      <c r="P50" s="51">
        <f t="shared" si="7"/>
        <v>0.90737563629296736</v>
      </c>
      <c r="Q50" s="50">
        <f t="shared" si="8"/>
        <v>1.4649742368034453</v>
      </c>
      <c r="R50" s="51">
        <f t="shared" si="9"/>
        <v>1.0236724248240563</v>
      </c>
      <c r="S50" s="51">
        <f t="shared" si="13"/>
        <v>0.7973101674337042</v>
      </c>
      <c r="T50" s="12">
        <f t="shared" si="14"/>
        <v>0.56922444171457709</v>
      </c>
      <c r="U50" s="124">
        <f t="shared" si="2"/>
        <v>36.083743157894745</v>
      </c>
      <c r="V50" s="19">
        <f t="shared" si="15"/>
        <v>2.8866994526315795</v>
      </c>
      <c r="W50" s="12">
        <f t="shared" si="18"/>
        <v>59.429991354385969</v>
      </c>
      <c r="X50" s="53">
        <f t="shared" si="16"/>
        <v>708.85008771929836</v>
      </c>
      <c r="Y50" s="19">
        <f t="shared" si="10"/>
        <v>60.29174855144155</v>
      </c>
      <c r="Z50" s="19"/>
      <c r="AA50" s="66"/>
      <c r="AB50" s="54">
        <f t="shared" si="11"/>
        <v>0.39708251448558451</v>
      </c>
    </row>
    <row r="51" spans="1:28" x14ac:dyDescent="0.25">
      <c r="A51" s="41">
        <v>40</v>
      </c>
      <c r="B51" s="42">
        <v>39601</v>
      </c>
      <c r="C51" s="43"/>
      <c r="D51" s="55">
        <v>510</v>
      </c>
      <c r="E51" s="56">
        <f t="shared" si="12"/>
        <v>30</v>
      </c>
      <c r="F51" s="72">
        <f>+'[1]Con 8hE'!E53</f>
        <v>1.7325175438596492</v>
      </c>
      <c r="G51" s="47">
        <f t="shared" si="0"/>
        <v>51.975526315789473</v>
      </c>
      <c r="H51" s="47">
        <f>+F51/G86</f>
        <v>1.4736003959703709E-3</v>
      </c>
      <c r="I51" s="48">
        <f>+G51/G86</f>
        <v>4.4208011879111123E-2</v>
      </c>
      <c r="J51" s="49">
        <f t="shared" si="1"/>
        <v>22.546086058346674</v>
      </c>
      <c r="K51" s="45">
        <f t="shared" si="17"/>
        <v>1.473600395970371</v>
      </c>
      <c r="L51" s="51">
        <f t="shared" si="3"/>
        <v>1.0360799609946367</v>
      </c>
      <c r="M51" s="51">
        <f t="shared" si="4"/>
        <v>0.71502993968619444</v>
      </c>
      <c r="N51" s="51">
        <f t="shared" si="5"/>
        <v>0.75840498024873404</v>
      </c>
      <c r="O51" s="52">
        <f t="shared" si="6"/>
        <v>0.69349355025512871</v>
      </c>
      <c r="P51" s="51">
        <f t="shared" si="7"/>
        <v>0.8788985115560779</v>
      </c>
      <c r="Q51" s="50">
        <f t="shared" si="8"/>
        <v>1.3771919541328776</v>
      </c>
      <c r="R51" s="51">
        <f t="shared" si="9"/>
        <v>1.0876519513755598</v>
      </c>
      <c r="S51" s="51">
        <f t="shared" si="13"/>
        <v>0.71995368826166661</v>
      </c>
      <c r="T51" s="12">
        <f t="shared" si="14"/>
        <v>0.43845853337608953</v>
      </c>
      <c r="U51" s="124">
        <f t="shared" si="2"/>
        <v>54.470351578947373</v>
      </c>
      <c r="V51" s="19">
        <f t="shared" si="15"/>
        <v>4.3576281263157899</v>
      </c>
      <c r="W51" s="12">
        <f t="shared" si="18"/>
        <v>63.787619480701757</v>
      </c>
      <c r="X51" s="53">
        <f t="shared" si="16"/>
        <v>760.82561403508782</v>
      </c>
      <c r="Y51" s="19">
        <f t="shared" si="10"/>
        <v>64.712563922351606</v>
      </c>
      <c r="Z51" s="19"/>
      <c r="AB51" s="54">
        <f t="shared" si="11"/>
        <v>0.35287436077648393</v>
      </c>
    </row>
    <row r="52" spans="1:28" x14ac:dyDescent="0.25">
      <c r="A52" s="41">
        <v>41</v>
      </c>
      <c r="B52" s="42">
        <v>39601</v>
      </c>
      <c r="C52" s="43"/>
      <c r="D52" s="55">
        <v>540</v>
      </c>
      <c r="E52" s="56">
        <f t="shared" si="12"/>
        <v>30</v>
      </c>
      <c r="F52" s="72">
        <f>+'[1]Con 8hE'!E54</f>
        <v>1.7654122807017545</v>
      </c>
      <c r="G52" s="47">
        <f t="shared" si="0"/>
        <v>52.962368421052638</v>
      </c>
      <c r="H52" s="47">
        <f>+F52/G86</f>
        <v>1.5015791586718899E-3</v>
      </c>
      <c r="I52" s="48">
        <f>+G52/G86</f>
        <v>4.5047374760156696E-2</v>
      </c>
      <c r="J52" s="49">
        <f t="shared" si="1"/>
        <v>24.325582370484614</v>
      </c>
      <c r="K52" s="45">
        <f t="shared" si="17"/>
        <v>1.5015791586718898</v>
      </c>
      <c r="L52" s="51">
        <f t="shared" si="3"/>
        <v>1.0970258410531448</v>
      </c>
      <c r="M52" s="51">
        <f t="shared" si="4"/>
        <v>0.72860597635235425</v>
      </c>
      <c r="N52" s="51">
        <f t="shared" si="5"/>
        <v>0.74731695163773437</v>
      </c>
      <c r="O52" s="52">
        <f t="shared" si="6"/>
        <v>0.68485528980583155</v>
      </c>
      <c r="P52" s="51">
        <f t="shared" si="7"/>
        <v>0.83845037344124385</v>
      </c>
      <c r="Q52" s="50">
        <f t="shared" si="8"/>
        <v>1.2829173498176523</v>
      </c>
      <c r="R52" s="51">
        <f t="shared" si="9"/>
        <v>1.1516314779270633</v>
      </c>
      <c r="S52" s="51">
        <f t="shared" si="13"/>
        <v>0.64640985077962476</v>
      </c>
      <c r="T52" s="12">
        <f t="shared" si="14"/>
        <v>0.30726109875298507</v>
      </c>
      <c r="U52" s="124">
        <f t="shared" si="2"/>
        <v>55.504562105263162</v>
      </c>
      <c r="V52" s="19">
        <f t="shared" si="15"/>
        <v>4.4403649684210533</v>
      </c>
      <c r="W52" s="12">
        <f t="shared" si="18"/>
        <v>68.227984449122815</v>
      </c>
      <c r="X52" s="53">
        <f t="shared" si="16"/>
        <v>813.78798245614041</v>
      </c>
      <c r="Y52" s="19">
        <f t="shared" si="10"/>
        <v>69.217315850654117</v>
      </c>
      <c r="Z52" s="19"/>
      <c r="AB52" s="54">
        <f t="shared" si="11"/>
        <v>0.30782684149345885</v>
      </c>
    </row>
    <row r="53" spans="1:28" x14ac:dyDescent="0.25">
      <c r="A53" s="41">
        <v>42</v>
      </c>
      <c r="B53" s="42">
        <v>39601</v>
      </c>
      <c r="C53" s="43"/>
      <c r="D53" s="55">
        <v>570</v>
      </c>
      <c r="E53" s="56">
        <f t="shared" si="12"/>
        <v>30</v>
      </c>
      <c r="F53" s="72">
        <f>+'[1]Con 8hE'!E55</f>
        <v>1.6119035087719298</v>
      </c>
      <c r="G53" s="47">
        <f t="shared" si="0"/>
        <v>48.357105263157891</v>
      </c>
      <c r="H53" s="47">
        <f>+F53/G86</f>
        <v>1.371011599398135E-3</v>
      </c>
      <c r="I53" s="48">
        <f>+G53/G86</f>
        <v>4.1130347981944045E-2</v>
      </c>
      <c r="J53" s="49">
        <f t="shared" si="1"/>
        <v>23.444298349708106</v>
      </c>
      <c r="K53" s="45">
        <f t="shared" si="17"/>
        <v>1.3710115993981349</v>
      </c>
      <c r="L53" s="51">
        <f t="shared" si="3"/>
        <v>1.1579717211116529</v>
      </c>
      <c r="M53" s="51">
        <f t="shared" si="4"/>
        <v>0.66525113857694174</v>
      </c>
      <c r="N53" s="51">
        <f t="shared" si="5"/>
        <v>0.72652578833633996</v>
      </c>
      <c r="O53" s="52">
        <f t="shared" si="6"/>
        <v>0.66860590890275384</v>
      </c>
      <c r="P53" s="51">
        <f t="shared" si="7"/>
        <v>0.78974080798760116</v>
      </c>
      <c r="Q53" s="50">
        <f t="shared" si="8"/>
        <v>1.1854167594417293</v>
      </c>
      <c r="R53" s="51">
        <f t="shared" si="9"/>
        <v>1.2156110044785668</v>
      </c>
      <c r="S53" s="51">
        <f t="shared" si="13"/>
        <v>0.57775053614975591</v>
      </c>
      <c r="T53" s="12">
        <f t="shared" si="14"/>
        <v>0.27057227312964993</v>
      </c>
      <c r="U53" s="124">
        <f t="shared" si="2"/>
        <v>50.678246315789472</v>
      </c>
      <c r="V53" s="19">
        <f t="shared" si="15"/>
        <v>4.0542597052631582</v>
      </c>
      <c r="W53" s="12">
        <f t="shared" si="18"/>
        <v>72.282244154385978</v>
      </c>
      <c r="X53" s="53">
        <f t="shared" si="16"/>
        <v>862.14508771929832</v>
      </c>
      <c r="Y53" s="19">
        <f t="shared" si="10"/>
        <v>73.330363844458475</v>
      </c>
      <c r="AB53" s="54">
        <f t="shared" si="11"/>
        <v>0.26669636155541521</v>
      </c>
    </row>
    <row r="54" spans="1:28" x14ac:dyDescent="0.25">
      <c r="A54" s="41">
        <v>43</v>
      </c>
      <c r="B54" s="42">
        <v>39601</v>
      </c>
      <c r="C54" s="43"/>
      <c r="D54" s="55">
        <v>600</v>
      </c>
      <c r="E54" s="56">
        <f t="shared" si="12"/>
        <v>30</v>
      </c>
      <c r="F54" s="125">
        <f>+'[1]Con 8hE'!E56</f>
        <v>1.3268157894736841</v>
      </c>
      <c r="G54" s="47">
        <f t="shared" si="0"/>
        <v>39.804473684210521</v>
      </c>
      <c r="H54" s="47">
        <f>+F54/G86</f>
        <v>1.1285289893183045E-3</v>
      </c>
      <c r="I54" s="48">
        <f>+G54/G86</f>
        <v>3.3855869679549136E-2</v>
      </c>
      <c r="J54" s="49">
        <f t="shared" si="1"/>
        <v>20.313521807729483</v>
      </c>
      <c r="K54" s="45">
        <f t="shared" si="17"/>
        <v>1.1285289893183046</v>
      </c>
      <c r="L54" s="51">
        <f t="shared" si="3"/>
        <v>1.2189176011701608</v>
      </c>
      <c r="M54" s="51">
        <f t="shared" si="4"/>
        <v>0.54759215413688977</v>
      </c>
      <c r="N54" s="51">
        <f t="shared" si="5"/>
        <v>0.69685076077812513</v>
      </c>
      <c r="O54" s="52">
        <f t="shared" si="6"/>
        <v>0.6452924945231141</v>
      </c>
      <c r="P54" s="51">
        <f t="shared" si="7"/>
        <v>0.73590522480483234</v>
      </c>
      <c r="Q54" s="50">
        <f t="shared" si="8"/>
        <v>1.0873619202631739</v>
      </c>
      <c r="R54" s="51">
        <f t="shared" si="9"/>
        <v>1.2795905310300704</v>
      </c>
      <c r="S54" s="51">
        <f t="shared" si="13"/>
        <v>0.51450875100701043</v>
      </c>
      <c r="T54" s="12">
        <f t="shared" si="14"/>
        <v>0.29135140042402347</v>
      </c>
      <c r="U54" s="124">
        <f t="shared" si="2"/>
        <v>41.715088421052627</v>
      </c>
      <c r="V54" s="19">
        <f t="shared" si="15"/>
        <v>3.3372070736842105</v>
      </c>
      <c r="W54" s="12">
        <f t="shared" si="18"/>
        <v>75.61945122807019</v>
      </c>
      <c r="X54" s="53">
        <f t="shared" si="16"/>
        <v>901.94956140350882</v>
      </c>
      <c r="Y54" s="19">
        <f t="shared" si="10"/>
        <v>76.715961674194844</v>
      </c>
      <c r="Z54" s="73">
        <f>+((([1]Resumen!N7-F54)*(D55-D54))/(F55-F54))+D54</f>
        <v>591.822</v>
      </c>
      <c r="AA54" s="74" t="s">
        <v>78</v>
      </c>
      <c r="AB54" s="54">
        <f t="shared" si="11"/>
        <v>0.23284038325805156</v>
      </c>
    </row>
    <row r="55" spans="1:28" x14ac:dyDescent="0.25">
      <c r="A55" s="41">
        <v>44</v>
      </c>
      <c r="B55" s="42">
        <v>39601</v>
      </c>
      <c r="C55" s="43"/>
      <c r="D55" s="55">
        <v>630</v>
      </c>
      <c r="E55" s="56">
        <f t="shared" si="12"/>
        <v>30</v>
      </c>
      <c r="F55" s="125">
        <f>+'[1]Con 8hE'!E57</f>
        <v>1.0855877192982455</v>
      </c>
      <c r="G55" s="47">
        <f t="shared" si="0"/>
        <v>32.567631578947363</v>
      </c>
      <c r="H55" s="47">
        <f>+F55/G86</f>
        <v>9.2335139617383266E-4</v>
      </c>
      <c r="I55" s="48">
        <f>+G55/G86</f>
        <v>2.770054188521498E-2</v>
      </c>
      <c r="J55" s="49">
        <f t="shared" si="1"/>
        <v>17.451341387685439</v>
      </c>
      <c r="K55" s="45">
        <f t="shared" si="17"/>
        <v>0.92335139617383266</v>
      </c>
      <c r="L55" s="51">
        <f t="shared" si="3"/>
        <v>1.2798634812286689</v>
      </c>
      <c r="M55" s="51">
        <f t="shared" si="4"/>
        <v>0.44803455191838443</v>
      </c>
      <c r="N55" s="51">
        <f t="shared" si="5"/>
        <v>0.65943359110280275</v>
      </c>
      <c r="O55" s="52">
        <f t="shared" si="6"/>
        <v>0.61568422283510438</v>
      </c>
      <c r="P55" s="51">
        <f t="shared" si="7"/>
        <v>0.67949092333449901</v>
      </c>
      <c r="Q55" s="50">
        <f t="shared" si="8"/>
        <v>0.9908712906185505</v>
      </c>
      <c r="R55" s="51">
        <f t="shared" si="9"/>
        <v>1.3435700575815739</v>
      </c>
      <c r="S55" s="51">
        <f t="shared" si="13"/>
        <v>0.45684896558870081</v>
      </c>
      <c r="T55" s="12">
        <f t="shared" si="14"/>
        <v>0.29467172488263232</v>
      </c>
      <c r="U55" s="124">
        <f t="shared" si="2"/>
        <v>34.130877894736841</v>
      </c>
      <c r="V55" s="19">
        <f t="shared" si="15"/>
        <v>2.7304702315789471</v>
      </c>
      <c r="W55" s="12">
        <f t="shared" si="18"/>
        <v>78.349921459649138</v>
      </c>
      <c r="X55" s="53">
        <f t="shared" si="16"/>
        <v>934.51719298245621</v>
      </c>
      <c r="Y55" s="19">
        <f t="shared" si="10"/>
        <v>79.486024749719846</v>
      </c>
      <c r="AB55" s="54">
        <f t="shared" si="11"/>
        <v>0.20513975250280159</v>
      </c>
    </row>
    <row r="56" spans="1:28" x14ac:dyDescent="0.25">
      <c r="A56" s="41">
        <v>45</v>
      </c>
      <c r="B56" s="42">
        <v>39601</v>
      </c>
      <c r="C56" s="43"/>
      <c r="D56" s="55">
        <v>660</v>
      </c>
      <c r="E56" s="56">
        <f t="shared" si="12"/>
        <v>30</v>
      </c>
      <c r="F56" s="125">
        <f>+'[1]Con 8hE'!E58</f>
        <v>0.97593859649122805</v>
      </c>
      <c r="G56" s="47">
        <f t="shared" si="0"/>
        <v>29.278157894736843</v>
      </c>
      <c r="H56" s="47">
        <f>+F56/G86</f>
        <v>8.3008885383543647E-4</v>
      </c>
      <c r="I56" s="48">
        <f>+G56/G86</f>
        <v>2.4902665615063095E-2</v>
      </c>
      <c r="J56" s="49">
        <f t="shared" si="1"/>
        <v>16.435759305941644</v>
      </c>
      <c r="K56" s="45">
        <f t="shared" si="17"/>
        <v>0.83008885383543651</v>
      </c>
      <c r="L56" s="51">
        <f t="shared" si="3"/>
        <v>1.340809361287177</v>
      </c>
      <c r="M56" s="51">
        <f t="shared" si="4"/>
        <v>0.40278109636451837</v>
      </c>
      <c r="N56" s="51">
        <f t="shared" si="5"/>
        <v>0.615665612276727</v>
      </c>
      <c r="O56" s="52">
        <f t="shared" si="6"/>
        <v>0.58073024255320393</v>
      </c>
      <c r="P56" s="51">
        <f t="shared" si="7"/>
        <v>0.62249454070775323</v>
      </c>
      <c r="Q56" s="50">
        <f t="shared" si="8"/>
        <v>0.89756649201149441</v>
      </c>
      <c r="R56" s="51">
        <f t="shared" si="9"/>
        <v>1.4075495841330774</v>
      </c>
      <c r="S56" s="51">
        <f t="shared" si="13"/>
        <v>0.40469152585781715</v>
      </c>
      <c r="T56" s="12">
        <f t="shared" si="14"/>
        <v>0.24481258774553463</v>
      </c>
      <c r="U56" s="124">
        <f t="shared" si="2"/>
        <v>30.683509473684211</v>
      </c>
      <c r="V56" s="19">
        <f t="shared" si="15"/>
        <v>2.4546807578947369</v>
      </c>
      <c r="W56" s="12">
        <f t="shared" si="18"/>
        <v>80.804602217543874</v>
      </c>
      <c r="X56" s="53">
        <f t="shared" si="16"/>
        <v>963.79535087719307</v>
      </c>
      <c r="Y56" s="19">
        <f t="shared" si="10"/>
        <v>81.976299300603301</v>
      </c>
      <c r="AB56" s="54">
        <f t="shared" si="11"/>
        <v>0.18023700699396694</v>
      </c>
    </row>
    <row r="57" spans="1:28" x14ac:dyDescent="0.25">
      <c r="A57" s="41">
        <v>46</v>
      </c>
      <c r="B57" s="42">
        <v>39601</v>
      </c>
      <c r="C57" s="43"/>
      <c r="D57" s="55">
        <v>690</v>
      </c>
      <c r="E57" s="56">
        <f t="shared" si="12"/>
        <v>30</v>
      </c>
      <c r="F57" s="125">
        <f>+'[1]Con 8hE'!E59</f>
        <v>0.80049999999999999</v>
      </c>
      <c r="G57" s="47">
        <f t="shared" si="0"/>
        <v>24.015000000000001</v>
      </c>
      <c r="H57" s="47">
        <f>+F57/G86</f>
        <v>6.8086878609400245E-4</v>
      </c>
      <c r="I57" s="48">
        <f>+G57/G86</f>
        <v>2.0426063582820071E-2</v>
      </c>
      <c r="J57" s="49">
        <f t="shared" si="1"/>
        <v>14.093983872145849</v>
      </c>
      <c r="K57" s="45">
        <f t="shared" si="17"/>
        <v>0.68086878609400248</v>
      </c>
      <c r="L57" s="51">
        <f t="shared" si="3"/>
        <v>1.4017552413456851</v>
      </c>
      <c r="M57" s="51">
        <f t="shared" si="4"/>
        <v>0.33037556747833263</v>
      </c>
      <c r="N57" s="51">
        <f t="shared" si="5"/>
        <v>0.56710212055684184</v>
      </c>
      <c r="O57" s="52">
        <f t="shared" si="6"/>
        <v>0.54150923723504318</v>
      </c>
      <c r="P57" s="51">
        <f t="shared" si="7"/>
        <v>0.56642546965525431</v>
      </c>
      <c r="Q57" s="50">
        <f t="shared" si="8"/>
        <v>0.80863577476998871</v>
      </c>
      <c r="R57" s="51">
        <f t="shared" si="9"/>
        <v>1.4715291106845809</v>
      </c>
      <c r="S57" s="51">
        <f t="shared" si="13"/>
        <v>0.35780192565053115</v>
      </c>
      <c r="T57" s="12">
        <f t="shared" si="14"/>
        <v>0.22873282587865784</v>
      </c>
      <c r="U57" s="124">
        <f t="shared" si="2"/>
        <v>25.167719999999999</v>
      </c>
      <c r="V57" s="19">
        <f t="shared" si="15"/>
        <v>2.0134175999999999</v>
      </c>
      <c r="W57" s="12">
        <f t="shared" si="18"/>
        <v>82.81801981754387</v>
      </c>
      <c r="X57" s="53">
        <f t="shared" si="16"/>
        <v>987.81035087719306</v>
      </c>
      <c r="Y57" s="19">
        <f t="shared" si="10"/>
        <v>84.0189122120603</v>
      </c>
      <c r="Z57" s="19"/>
      <c r="AB57" s="54">
        <f t="shared" si="11"/>
        <v>0.15981087787939696</v>
      </c>
    </row>
    <row r="58" spans="1:28" x14ac:dyDescent="0.25">
      <c r="A58" s="41">
        <v>47</v>
      </c>
      <c r="B58" s="42">
        <v>39601</v>
      </c>
      <c r="C58" s="43"/>
      <c r="D58" s="55">
        <v>720</v>
      </c>
      <c r="E58" s="56">
        <f t="shared" si="12"/>
        <v>30</v>
      </c>
      <c r="F58" s="125">
        <f>+'[1]Con 8hE'!E60</f>
        <v>0.7456754385964911</v>
      </c>
      <c r="G58" s="47">
        <f t="shared" si="0"/>
        <v>22.370263157894733</v>
      </c>
      <c r="H58" s="47">
        <f>+F58/G86</f>
        <v>6.3423751492480414E-4</v>
      </c>
      <c r="I58" s="48">
        <f>+G58/G86</f>
        <v>1.9027125447744125E-2</v>
      </c>
      <c r="J58" s="49">
        <f t="shared" si="1"/>
        <v>13.69953032237577</v>
      </c>
      <c r="K58" s="45">
        <f t="shared" si="17"/>
        <v>0.63423751492480418</v>
      </c>
      <c r="L58" s="51">
        <f t="shared" si="3"/>
        <v>1.4627011214041929</v>
      </c>
      <c r="M58" s="51">
        <f t="shared" si="4"/>
        <v>0.30774883970139955</v>
      </c>
      <c r="N58" s="51">
        <f t="shared" si="5"/>
        <v>0.51537125137138284</v>
      </c>
      <c r="O58" s="52">
        <f t="shared" si="6"/>
        <v>0.49917439817413306</v>
      </c>
      <c r="P58" s="51">
        <f t="shared" si="7"/>
        <v>0.51237899836998124</v>
      </c>
      <c r="Q58" s="50">
        <f t="shared" si="8"/>
        <v>0.7248988525346024</v>
      </c>
      <c r="R58" s="51">
        <f t="shared" si="9"/>
        <v>1.5355086372360844</v>
      </c>
      <c r="S58" s="51">
        <f t="shared" si="13"/>
        <v>0.31585382754701924</v>
      </c>
      <c r="T58" s="12">
        <f t="shared" si="14"/>
        <v>0.17401413320674131</v>
      </c>
      <c r="U58" s="124">
        <f t="shared" si="2"/>
        <v>23.444035789473681</v>
      </c>
      <c r="V58" s="19">
        <f t="shared" si="15"/>
        <v>1.8755228631578944</v>
      </c>
      <c r="W58" s="12">
        <f t="shared" si="18"/>
        <v>84.693542680701768</v>
      </c>
      <c r="X58" s="53">
        <f t="shared" si="16"/>
        <v>1010.1806140350878</v>
      </c>
      <c r="Y58" s="19">
        <f t="shared" si="10"/>
        <v>85.921630861196547</v>
      </c>
      <c r="Z58" s="19"/>
      <c r="AB58" s="54">
        <f t="shared" si="11"/>
        <v>0.14078369138803448</v>
      </c>
    </row>
    <row r="59" spans="1:28" x14ac:dyDescent="0.25">
      <c r="A59" s="41">
        <v>48</v>
      </c>
      <c r="B59" s="42">
        <v>39601</v>
      </c>
      <c r="C59" s="43"/>
      <c r="D59" s="55">
        <v>780</v>
      </c>
      <c r="E59" s="56">
        <f t="shared" si="12"/>
        <v>60</v>
      </c>
      <c r="F59" s="125">
        <f>+'[1]Con 8hE'!E61</f>
        <v>0.61409649122807008</v>
      </c>
      <c r="G59" s="47">
        <f t="shared" si="0"/>
        <v>36.845789473684206</v>
      </c>
      <c r="H59" s="47">
        <f>+F59/G86</f>
        <v>5.2232246411872867E-4</v>
      </c>
      <c r="I59" s="48">
        <f>+G59/G86</f>
        <v>3.1339347847123722E-2</v>
      </c>
      <c r="J59" s="49">
        <f t="shared" si="1"/>
        <v>24.444691320756505</v>
      </c>
      <c r="K59" s="45">
        <f t="shared" si="17"/>
        <v>0.52232246411872862</v>
      </c>
      <c r="L59" s="51">
        <f t="shared" si="3"/>
        <v>1.5845928815212091</v>
      </c>
      <c r="M59" s="51">
        <f t="shared" si="4"/>
        <v>0.25344469303676026</v>
      </c>
      <c r="N59" s="51">
        <f t="shared" si="5"/>
        <v>0.40875742481437677</v>
      </c>
      <c r="O59" s="52">
        <f t="shared" si="6"/>
        <v>0.40981721059797638</v>
      </c>
      <c r="P59" s="51">
        <f t="shared" si="7"/>
        <v>0.4130975960105811</v>
      </c>
      <c r="Q59" s="50">
        <f t="shared" si="8"/>
        <v>0.5748124904742713</v>
      </c>
      <c r="R59" s="51">
        <f t="shared" si="9"/>
        <v>1.6634676903390915</v>
      </c>
      <c r="S59" s="51">
        <f t="shared" si="13"/>
        <v>0.24526607269677703</v>
      </c>
      <c r="T59" s="12">
        <f t="shared" si="14"/>
        <v>0.10327726122983713</v>
      </c>
      <c r="U59" s="124">
        <f t="shared" si="2"/>
        <v>38.614387368421049</v>
      </c>
      <c r="V59" s="19">
        <f t="shared" si="15"/>
        <v>3.0891509894736839</v>
      </c>
      <c r="W59" s="12">
        <f t="shared" si="18"/>
        <v>87.782693670175448</v>
      </c>
      <c r="X59" s="53">
        <f t="shared" si="16"/>
        <v>1047.0264035087721</v>
      </c>
      <c r="Y59" s="19">
        <f t="shared" si="10"/>
        <v>89.055575700329342</v>
      </c>
      <c r="Z59" s="19"/>
      <c r="AB59" s="54">
        <f t="shared" si="11"/>
        <v>0.10944424299670663</v>
      </c>
    </row>
    <row r="60" spans="1:28" x14ac:dyDescent="0.25">
      <c r="A60" s="41">
        <v>49</v>
      </c>
      <c r="B60" s="42">
        <v>39601</v>
      </c>
      <c r="C60" s="43"/>
      <c r="D60" s="128">
        <v>840</v>
      </c>
      <c r="E60" s="56">
        <f t="shared" si="12"/>
        <v>60</v>
      </c>
      <c r="F60" s="125">
        <f>+'[1]Con 8hE'!E62</f>
        <v>0.44962280701754381</v>
      </c>
      <c r="G60" s="47">
        <f t="shared" si="0"/>
        <v>26.977368421052628</v>
      </c>
      <c r="H60" s="47">
        <f>+F60/G86</f>
        <v>3.8242865061113423E-4</v>
      </c>
      <c r="I60" s="48">
        <f>+G60/G86</f>
        <v>2.2945719036668054E-2</v>
      </c>
      <c r="J60" s="49">
        <f t="shared" si="1"/>
        <v>19.274403990801165</v>
      </c>
      <c r="K60" s="45">
        <f t="shared" si="17"/>
        <v>0.38242865061113424</v>
      </c>
      <c r="L60" s="51">
        <f t="shared" si="3"/>
        <v>1.7064846416382253</v>
      </c>
      <c r="M60" s="51">
        <f t="shared" si="4"/>
        <v>0.18556450970596111</v>
      </c>
      <c r="N60" s="51">
        <f t="shared" si="5"/>
        <v>0.30717176520258638</v>
      </c>
      <c r="O60" s="52">
        <f t="shared" si="6"/>
        <v>0.3213572581004342</v>
      </c>
      <c r="P60" s="51">
        <f t="shared" si="7"/>
        <v>0.32775302821201113</v>
      </c>
      <c r="Q60" s="50">
        <f t="shared" si="8"/>
        <v>0.44873949703837535</v>
      </c>
      <c r="R60" s="51">
        <f t="shared" si="9"/>
        <v>1.7914267434420985</v>
      </c>
      <c r="S60" s="51">
        <f t="shared" si="13"/>
        <v>0.18982397883321905</v>
      </c>
      <c r="T60" s="12">
        <f t="shared" si="14"/>
        <v>6.9261073957416389E-2</v>
      </c>
      <c r="U60" s="124">
        <f t="shared" si="2"/>
        <v>28.272282105263155</v>
      </c>
      <c r="V60" s="19">
        <f t="shared" si="15"/>
        <v>2.2617825684210522</v>
      </c>
      <c r="W60" s="12">
        <f t="shared" si="18"/>
        <v>90.044476238596502</v>
      </c>
      <c r="X60" s="53">
        <f t="shared" si="16"/>
        <v>1074.0037719298248</v>
      </c>
      <c r="Y60" s="19">
        <f t="shared" si="10"/>
        <v>91.350154965537527</v>
      </c>
      <c r="Z60" s="77">
        <f>+(((90-Y59)*(D60-D59))/(Y60-Y59))+D59</f>
        <v>804.69535868271623</v>
      </c>
      <c r="AA60" s="66" t="s">
        <v>118</v>
      </c>
      <c r="AB60" s="54">
        <f t="shared" si="11"/>
        <v>8.6498450344624778E-2</v>
      </c>
    </row>
    <row r="61" spans="1:28" x14ac:dyDescent="0.25">
      <c r="A61" s="41">
        <v>50</v>
      </c>
      <c r="B61" s="42">
        <v>39601</v>
      </c>
      <c r="C61" s="43"/>
      <c r="D61" s="55">
        <v>900</v>
      </c>
      <c r="E61" s="56">
        <f t="shared" si="12"/>
        <v>60</v>
      </c>
      <c r="F61" s="125">
        <f>+'[1]Con 8hE'!E63</f>
        <v>0.36190350877192978</v>
      </c>
      <c r="G61" s="47">
        <f t="shared" si="0"/>
        <v>21.714210526315789</v>
      </c>
      <c r="H61" s="47">
        <f>+F61/G86</f>
        <v>3.0781861674041721E-4</v>
      </c>
      <c r="I61" s="48">
        <f>+G61/G86</f>
        <v>1.8469117004425033E-2</v>
      </c>
      <c r="J61" s="49">
        <f t="shared" si="1"/>
        <v>16.622205303982529</v>
      </c>
      <c r="K61" s="45">
        <f t="shared" si="17"/>
        <v>0.30781861674041722</v>
      </c>
      <c r="L61" s="51">
        <f t="shared" si="3"/>
        <v>1.8283764017552413</v>
      </c>
      <c r="M61" s="51">
        <f t="shared" si="4"/>
        <v>0.14936174526286825</v>
      </c>
      <c r="N61" s="51">
        <f t="shared" si="5"/>
        <v>0.21870922719987587</v>
      </c>
      <c r="O61" s="52">
        <f t="shared" si="6"/>
        <v>0.24068335889729459</v>
      </c>
      <c r="P61" s="51">
        <f t="shared" si="7"/>
        <v>0.25677141688097838</v>
      </c>
      <c r="Q61" s="50">
        <f t="shared" si="8"/>
        <v>0.34563537097885721</v>
      </c>
      <c r="R61" s="51">
        <f t="shared" si="9"/>
        <v>1.9193857965451055</v>
      </c>
      <c r="S61" s="51">
        <f t="shared" si="13"/>
        <v>0.14660668027837781</v>
      </c>
      <c r="T61" s="12">
        <f t="shared" si="14"/>
        <v>3.852333615170013E-2</v>
      </c>
      <c r="U61" s="124">
        <f t="shared" si="2"/>
        <v>22.756492631578944</v>
      </c>
      <c r="V61" s="19">
        <f t="shared" si="15"/>
        <v>1.8205194105263154</v>
      </c>
      <c r="W61" s="12">
        <f t="shared" si="18"/>
        <v>91.864995649122818</v>
      </c>
      <c r="X61" s="53">
        <f t="shared" si="16"/>
        <v>1095.7179824561406</v>
      </c>
      <c r="Y61" s="19">
        <f t="shared" si="10"/>
        <v>93.197072591319269</v>
      </c>
      <c r="Z61" s="19"/>
      <c r="AB61" s="54">
        <f t="shared" si="11"/>
        <v>6.8029274086807257E-2</v>
      </c>
    </row>
    <row r="62" spans="1:28" x14ac:dyDescent="0.25">
      <c r="A62" s="41">
        <v>51</v>
      </c>
      <c r="B62" s="42">
        <v>39601</v>
      </c>
      <c r="C62" s="43"/>
      <c r="D62" s="55">
        <v>960</v>
      </c>
      <c r="E62" s="56">
        <f t="shared" si="12"/>
        <v>60</v>
      </c>
      <c r="F62" s="125">
        <f>+'[1]Con 8hE'!E64</f>
        <v>0.29611403508771933</v>
      </c>
      <c r="G62" s="47">
        <f t="shared" si="0"/>
        <v>17.766842105263159</v>
      </c>
      <c r="H62" s="47">
        <f>+F62/G86</f>
        <v>2.5186109133737953E-4</v>
      </c>
      <c r="I62" s="48">
        <f>+G62/G86</f>
        <v>1.5111665480242769E-2</v>
      </c>
      <c r="J62" s="49">
        <f t="shared" si="1"/>
        <v>14.507198861033059</v>
      </c>
      <c r="K62" s="45">
        <f t="shared" si="17"/>
        <v>0.25186109133737955</v>
      </c>
      <c r="L62" s="51">
        <f t="shared" si="3"/>
        <v>1.9502681618722575</v>
      </c>
      <c r="M62" s="51">
        <f t="shared" si="4"/>
        <v>0.12220967193054863</v>
      </c>
      <c r="N62" s="51">
        <f t="shared" si="5"/>
        <v>0.14754452280966485</v>
      </c>
      <c r="O62" s="52">
        <f t="shared" si="6"/>
        <v>0.17217260263167064</v>
      </c>
      <c r="P62" s="51">
        <f t="shared" si="7"/>
        <v>0.19913494724760689</v>
      </c>
      <c r="Q62" s="50">
        <f t="shared" si="8"/>
        <v>0.2631193461924074</v>
      </c>
      <c r="R62" s="51">
        <f t="shared" si="9"/>
        <v>2.0473448496481126</v>
      </c>
      <c r="S62" s="51">
        <f t="shared" si="13"/>
        <v>0.11308647844971338</v>
      </c>
      <c r="T62" s="12">
        <f t="shared" si="14"/>
        <v>1.9855536300583145E-2</v>
      </c>
      <c r="U62" s="124">
        <f t="shared" si="2"/>
        <v>18.619650526315795</v>
      </c>
      <c r="V62" s="19">
        <f t="shared" si="15"/>
        <v>1.4895720421052634</v>
      </c>
      <c r="W62" s="12">
        <f t="shared" si="18"/>
        <v>93.354567691228084</v>
      </c>
      <c r="X62" s="53">
        <f t="shared" si="16"/>
        <v>1113.4848245614037</v>
      </c>
      <c r="Y62" s="19">
        <f t="shared" si="10"/>
        <v>94.708243987531134</v>
      </c>
      <c r="AB62" s="54">
        <f t="shared" si="11"/>
        <v>5.2917560124688623E-2</v>
      </c>
    </row>
    <row r="63" spans="1:28" x14ac:dyDescent="0.25">
      <c r="A63" s="41">
        <v>52</v>
      </c>
      <c r="B63" s="42">
        <v>39601</v>
      </c>
      <c r="C63" s="43"/>
      <c r="D63" s="55">
        <v>1020</v>
      </c>
      <c r="E63" s="56">
        <f t="shared" si="12"/>
        <v>60</v>
      </c>
      <c r="F63" s="45">
        <f>+'[1]Con 8hE'!E65</f>
        <v>0.219359649122807</v>
      </c>
      <c r="G63" s="47">
        <f t="shared" si="0"/>
        <v>13.161578947368421</v>
      </c>
      <c r="H63" s="47">
        <f>+F63/G86</f>
        <v>1.8657731170050208E-4</v>
      </c>
      <c r="I63" s="48">
        <f>+G63/G86</f>
        <v>1.1194638702030125E-2</v>
      </c>
      <c r="J63" s="49">
        <f t="shared" si="1"/>
        <v>11.418531476070727</v>
      </c>
      <c r="K63" s="45">
        <f t="shared" si="17"/>
        <v>0.18657731170050207</v>
      </c>
      <c r="L63" s="51">
        <f t="shared" si="3"/>
        <v>2.0721599219892735</v>
      </c>
      <c r="M63" s="51">
        <f t="shared" si="4"/>
        <v>9.0532253042842348E-2</v>
      </c>
      <c r="N63" s="51">
        <f t="shared" si="5"/>
        <v>9.4308155686942285E-2</v>
      </c>
      <c r="O63" s="52">
        <f t="shared" si="6"/>
        <v>0.11763648940856447</v>
      </c>
      <c r="P63" s="51">
        <f t="shared" si="7"/>
        <v>0.15317178948222818</v>
      </c>
      <c r="Q63" s="50">
        <f t="shared" si="8"/>
        <v>0.19825109215787803</v>
      </c>
      <c r="R63" s="51">
        <f t="shared" si="9"/>
        <v>2.1753039027511196</v>
      </c>
      <c r="S63" s="51">
        <f t="shared" si="13"/>
        <v>8.717222806359759E-2</v>
      </c>
      <c r="T63" s="12">
        <f t="shared" si="14"/>
        <v>1.1603348300290943E-2</v>
      </c>
      <c r="U63" s="124">
        <f t="shared" si="2"/>
        <v>13.793334736842105</v>
      </c>
      <c r="V63" s="19">
        <f t="shared" si="15"/>
        <v>1.1034667789473684</v>
      </c>
      <c r="W63" s="12">
        <f t="shared" si="18"/>
        <v>94.458034470175448</v>
      </c>
      <c r="X63" s="53">
        <f t="shared" si="16"/>
        <v>1126.6464035087722</v>
      </c>
      <c r="Y63" s="19">
        <f t="shared" si="10"/>
        <v>95.827711449244887</v>
      </c>
      <c r="Z63" s="68">
        <f>+((([1]Resumen!O7-F62)*(D63-D62))/(F63-F62))+D62</f>
        <v>973.75748571428574</v>
      </c>
      <c r="AA63" s="69" t="s">
        <v>80</v>
      </c>
      <c r="AB63" s="54">
        <f t="shared" si="11"/>
        <v>4.17228855075511E-2</v>
      </c>
    </row>
    <row r="64" spans="1:28" x14ac:dyDescent="0.25">
      <c r="A64" s="41">
        <v>53</v>
      </c>
      <c r="B64" s="42">
        <v>39601</v>
      </c>
      <c r="C64" s="43"/>
      <c r="D64" s="55">
        <v>1080</v>
      </c>
      <c r="E64" s="56">
        <f t="shared" si="12"/>
        <v>60</v>
      </c>
      <c r="F64" s="45">
        <f>+'[1]Con 8hE'!E66</f>
        <v>0.16453508771929823</v>
      </c>
      <c r="G64" s="47">
        <f t="shared" si="0"/>
        <v>9.8721052631578932</v>
      </c>
      <c r="H64" s="47">
        <f>+F64/G86</f>
        <v>1.3994604053130393E-4</v>
      </c>
      <c r="I64" s="48">
        <f>+G64/G86</f>
        <v>8.3967624318782349E-3</v>
      </c>
      <c r="J64" s="49">
        <f t="shared" si="1"/>
        <v>9.0685034264284941</v>
      </c>
      <c r="K64" s="45">
        <f t="shared" si="17"/>
        <v>0.13994604053130394</v>
      </c>
      <c r="L64" s="51">
        <f t="shared" si="3"/>
        <v>2.1940516821062896</v>
      </c>
      <c r="M64" s="51">
        <f t="shared" si="4"/>
        <v>6.7905525265909303E-2</v>
      </c>
      <c r="N64" s="51">
        <f t="shared" si="5"/>
        <v>5.711439554852564E-2</v>
      </c>
      <c r="O64" s="52">
        <f t="shared" si="6"/>
        <v>7.6767977107130042E-2</v>
      </c>
      <c r="P64" s="51">
        <f t="shared" si="7"/>
        <v>0.11702534685027229</v>
      </c>
      <c r="Q64" s="50">
        <f t="shared" si="8"/>
        <v>0.14801921878518678</v>
      </c>
      <c r="R64" s="51">
        <f t="shared" si="9"/>
        <v>2.3032629558541267</v>
      </c>
      <c r="S64" s="51">
        <f t="shared" si="13"/>
        <v>6.7179644631077118E-2</v>
      </c>
      <c r="T64" s="12">
        <f t="shared" si="14"/>
        <v>6.4182038893007224E-3</v>
      </c>
      <c r="U64" s="124">
        <f t="shared" si="2"/>
        <v>10.345966315789473</v>
      </c>
      <c r="V64" s="19">
        <f t="shared" si="15"/>
        <v>0.82767730526315786</v>
      </c>
      <c r="W64" s="12">
        <f t="shared" si="18"/>
        <v>95.2857117754386</v>
      </c>
      <c r="X64" s="53">
        <f t="shared" si="16"/>
        <v>1136.5185087719301</v>
      </c>
      <c r="Y64" s="19">
        <f t="shared" si="10"/>
        <v>96.667390386317095</v>
      </c>
      <c r="Z64" s="19"/>
      <c r="AB64" s="54">
        <f t="shared" si="11"/>
        <v>3.332609613682902E-2</v>
      </c>
    </row>
    <row r="65" spans="1:28" x14ac:dyDescent="0.25">
      <c r="A65" s="41">
        <v>54</v>
      </c>
      <c r="B65" s="42">
        <v>39601</v>
      </c>
      <c r="C65" s="43"/>
      <c r="D65" s="55">
        <v>1140</v>
      </c>
      <c r="E65" s="56">
        <f t="shared" si="12"/>
        <v>60</v>
      </c>
      <c r="F65" s="45">
        <f>+'[1]Con 8hE'!E67</f>
        <v>0.14260526315789473</v>
      </c>
      <c r="G65" s="47">
        <f t="shared" si="0"/>
        <v>8.5563157894736843</v>
      </c>
      <c r="H65" s="47">
        <f>+F65/G86</f>
        <v>1.2129353206362468E-4</v>
      </c>
      <c r="I65" s="48">
        <f>+G65/G86</f>
        <v>7.2776119238174806E-3</v>
      </c>
      <c r="J65" s="49">
        <f t="shared" si="1"/>
        <v>8.2964775931519288</v>
      </c>
      <c r="K65" s="45">
        <f t="shared" si="17"/>
        <v>0.12129353206362467</v>
      </c>
      <c r="L65" s="51">
        <f t="shared" si="3"/>
        <v>2.3159434422233058</v>
      </c>
      <c r="M65" s="51">
        <f t="shared" si="4"/>
        <v>5.8854834155136086E-2</v>
      </c>
      <c r="N65" s="51">
        <f t="shared" si="5"/>
        <v>3.2772690126684427E-2</v>
      </c>
      <c r="O65" s="52">
        <f t="shared" si="6"/>
        <v>4.7849584208828851E-2</v>
      </c>
      <c r="P65" s="51">
        <f t="shared" si="7"/>
        <v>8.8910080130093896E-2</v>
      </c>
      <c r="Q65" s="50">
        <f t="shared" si="8"/>
        <v>0.10961975066489597</v>
      </c>
      <c r="R65" s="51">
        <f t="shared" si="9"/>
        <v>2.4312220089571337</v>
      </c>
      <c r="S65" s="51">
        <f t="shared" si="13"/>
        <v>5.1774822271209602E-2</v>
      </c>
      <c r="T65" s="12">
        <f t="shared" si="14"/>
        <v>2.5770767482428919E-3</v>
      </c>
      <c r="U65" s="124">
        <f t="shared" si="2"/>
        <v>8.9670189473684214</v>
      </c>
      <c r="V65" s="19">
        <f t="shared" si="15"/>
        <v>0.71736151578947371</v>
      </c>
      <c r="W65" s="12">
        <f t="shared" si="18"/>
        <v>96.003073291228077</v>
      </c>
      <c r="X65" s="53">
        <f t="shared" si="16"/>
        <v>1145.0748245614038</v>
      </c>
      <c r="Y65" s="19">
        <f t="shared" si="10"/>
        <v>97.395153913532681</v>
      </c>
      <c r="Z65" s="19"/>
      <c r="AB65" s="54">
        <f t="shared" si="11"/>
        <v>2.6048460864673162E-2</v>
      </c>
    </row>
    <row r="66" spans="1:28" x14ac:dyDescent="0.25">
      <c r="A66" s="41">
        <v>55</v>
      </c>
      <c r="B66" s="42">
        <v>39601</v>
      </c>
      <c r="C66" s="43"/>
      <c r="D66" s="55">
        <v>1200</v>
      </c>
      <c r="E66" s="56">
        <f t="shared" si="12"/>
        <v>60</v>
      </c>
      <c r="F66" s="45">
        <f>+'[1]Con 8hE'!E68</f>
        <v>0.12067543859649123</v>
      </c>
      <c r="G66" s="47">
        <f t="shared" si="0"/>
        <v>7.2405263157894737</v>
      </c>
      <c r="H66" s="47">
        <f>+F66/G86</f>
        <v>1.0264102359594542E-4</v>
      </c>
      <c r="I66" s="48">
        <f>+G66/G86</f>
        <v>6.1584614157567255E-3</v>
      </c>
      <c r="J66" s="49">
        <f t="shared" si="1"/>
        <v>7.3901536989080707</v>
      </c>
      <c r="K66" s="45">
        <f t="shared" si="17"/>
        <v>0.10264102359594543</v>
      </c>
      <c r="L66" s="51">
        <f t="shared" si="3"/>
        <v>2.4378352023403216</v>
      </c>
      <c r="M66" s="51">
        <f t="shared" si="4"/>
        <v>4.980414304436287E-2</v>
      </c>
      <c r="N66" s="51">
        <f t="shared" si="5"/>
        <v>1.7817582234168166E-2</v>
      </c>
      <c r="O66" s="52">
        <f t="shared" si="6"/>
        <v>2.8486314849972882E-2</v>
      </c>
      <c r="P66" s="51">
        <f t="shared" si="7"/>
        <v>6.7233897277435492E-2</v>
      </c>
      <c r="Q66" s="50">
        <f t="shared" si="8"/>
        <v>8.0591675401361654E-2</v>
      </c>
      <c r="R66" s="51">
        <f t="shared" si="9"/>
        <v>2.5591810620601407</v>
      </c>
      <c r="S66" s="51">
        <f t="shared" si="13"/>
        <v>3.991287996642346E-2</v>
      </c>
      <c r="T66" s="12">
        <f t="shared" si="14"/>
        <v>9.4787214863324709E-4</v>
      </c>
      <c r="U66" s="124">
        <f t="shared" si="2"/>
        <v>7.5880715789473676</v>
      </c>
      <c r="V66" s="19">
        <f t="shared" si="15"/>
        <v>0.60704572631578946</v>
      </c>
      <c r="W66" s="12">
        <f t="shared" si="18"/>
        <v>96.610119017543866</v>
      </c>
      <c r="X66" s="53">
        <f t="shared" si="16"/>
        <v>1152.3153508771934</v>
      </c>
      <c r="Y66" s="19">
        <f t="shared" si="10"/>
        <v>98.011002030891675</v>
      </c>
      <c r="Z66" s="53"/>
      <c r="AB66" s="54">
        <f t="shared" si="11"/>
        <v>1.9889979691083304E-2</v>
      </c>
    </row>
    <row r="67" spans="1:28" x14ac:dyDescent="0.25">
      <c r="A67" s="41">
        <v>56</v>
      </c>
      <c r="B67" s="42">
        <v>39601</v>
      </c>
      <c r="C67" s="43"/>
      <c r="D67" s="55">
        <v>1260</v>
      </c>
      <c r="E67" s="56">
        <f t="shared" si="12"/>
        <v>60</v>
      </c>
      <c r="F67" s="45">
        <f>+'[1]Con 8hE'!E69</f>
        <v>8.7780701754385973E-2</v>
      </c>
      <c r="G67" s="47">
        <f t="shared" si="0"/>
        <v>5.2668421052631587</v>
      </c>
      <c r="H67" s="47">
        <f>+F67/G86</f>
        <v>7.4662260894426544E-5</v>
      </c>
      <c r="I67" s="48">
        <f>+G67/G86</f>
        <v>4.4797356536655925E-3</v>
      </c>
      <c r="J67" s="49">
        <f t="shared" si="1"/>
        <v>5.6444669236186469</v>
      </c>
      <c r="K67" s="45">
        <f t="shared" si="17"/>
        <v>7.4662260894426541E-2</v>
      </c>
      <c r="L67" s="51">
        <f t="shared" si="3"/>
        <v>2.5597269624573378</v>
      </c>
      <c r="M67" s="51">
        <f t="shared" si="4"/>
        <v>3.6228106378203041E-2</v>
      </c>
      <c r="N67" s="51">
        <f t="shared" si="5"/>
        <v>9.178160027890311E-3</v>
      </c>
      <c r="O67" s="52">
        <f t="shared" si="6"/>
        <v>1.6197739201259762E-2</v>
      </c>
      <c r="P67" s="51">
        <f t="shared" si="7"/>
        <v>5.0641851829552144E-2</v>
      </c>
      <c r="Q67" s="50">
        <f t="shared" si="8"/>
        <v>5.8861540961773137E-2</v>
      </c>
      <c r="R67" s="51">
        <f t="shared" si="9"/>
        <v>2.6871401151631478</v>
      </c>
      <c r="S67" s="51">
        <f t="shared" si="13"/>
        <v>3.078127271614799E-2</v>
      </c>
      <c r="T67" s="12">
        <f t="shared" si="14"/>
        <v>5.1227236104874681E-4</v>
      </c>
      <c r="U67" s="124">
        <f t="shared" si="2"/>
        <v>5.5196505263157905</v>
      </c>
      <c r="V67" s="19">
        <f t="shared" si="15"/>
        <v>0.44157204210526324</v>
      </c>
      <c r="W67" s="12">
        <f t="shared" si="18"/>
        <v>97.05169105964913</v>
      </c>
      <c r="X67" s="53">
        <f t="shared" si="16"/>
        <v>1157.5821929824565</v>
      </c>
      <c r="Y67" s="19">
        <f t="shared" si="10"/>
        <v>98.458977033465729</v>
      </c>
      <c r="AB67" s="54">
        <f t="shared" si="11"/>
        <v>1.5410229665342667E-2</v>
      </c>
    </row>
    <row r="68" spans="1:28" x14ac:dyDescent="0.25">
      <c r="A68" s="41">
        <v>57</v>
      </c>
      <c r="B68" s="42">
        <v>39601</v>
      </c>
      <c r="C68" s="43"/>
      <c r="D68" s="55">
        <v>1320</v>
      </c>
      <c r="E68" s="56">
        <f t="shared" si="12"/>
        <v>60</v>
      </c>
      <c r="F68" s="45">
        <f>+'[1]Con 8hE'!E70</f>
        <v>7.6815789473684212E-2</v>
      </c>
      <c r="G68" s="47">
        <f t="shared" si="0"/>
        <v>4.6089473684210525</v>
      </c>
      <c r="H68" s="47">
        <f>+F68/G86</f>
        <v>6.5336006660586903E-5</v>
      </c>
      <c r="I68" s="48">
        <f>+G68/G86</f>
        <v>3.9201603996352145E-3</v>
      </c>
      <c r="J68" s="49">
        <f t="shared" si="1"/>
        <v>5.1746117275184833</v>
      </c>
      <c r="K68" s="45">
        <f t="shared" si="17"/>
        <v>6.5336006660586907E-2</v>
      </c>
      <c r="L68" s="51">
        <f t="shared" si="3"/>
        <v>2.681618722574354</v>
      </c>
      <c r="M68" s="51">
        <f t="shared" si="4"/>
        <v>3.170276082281643E-2</v>
      </c>
      <c r="N68" s="51">
        <f t="shared" si="5"/>
        <v>4.4795320991041117E-3</v>
      </c>
      <c r="O68" s="52">
        <f t="shared" si="6"/>
        <v>8.7969589307793066E-3</v>
      </c>
      <c r="P68" s="51">
        <f t="shared" si="7"/>
        <v>3.801652401860503E-2</v>
      </c>
      <c r="Q68" s="50">
        <f t="shared" si="8"/>
        <v>4.2734569253137303E-2</v>
      </c>
      <c r="R68" s="51">
        <f t="shared" si="9"/>
        <v>2.8150991682661548</v>
      </c>
      <c r="S68" s="51">
        <f t="shared" si="13"/>
        <v>2.3751186307839352E-2</v>
      </c>
      <c r="T68" s="12">
        <f t="shared" si="14"/>
        <v>1.2170079724329868E-4</v>
      </c>
      <c r="U68" s="124">
        <f t="shared" si="2"/>
        <v>4.8301768421052635</v>
      </c>
      <c r="V68" s="19">
        <f t="shared" si="15"/>
        <v>0.38641414736842111</v>
      </c>
      <c r="W68" s="12">
        <f t="shared" si="18"/>
        <v>97.438105207017557</v>
      </c>
      <c r="X68" s="53">
        <f t="shared" si="16"/>
        <v>1162.1911403508775</v>
      </c>
      <c r="Y68" s="19">
        <f t="shared" si="10"/>
        <v>98.850994331111465</v>
      </c>
      <c r="Z68" s="19"/>
      <c r="AB68" s="54">
        <f t="shared" si="11"/>
        <v>1.1490056688885364E-2</v>
      </c>
    </row>
    <row r="69" spans="1:28" x14ac:dyDescent="0.25">
      <c r="A69" s="41">
        <v>58</v>
      </c>
      <c r="B69" s="42">
        <v>39601</v>
      </c>
      <c r="C69" s="43"/>
      <c r="D69" s="55">
        <v>1380</v>
      </c>
      <c r="E69" s="56">
        <f t="shared" si="12"/>
        <v>60</v>
      </c>
      <c r="F69" s="45">
        <f>+'[1]Con 8hE'!E71</f>
        <v>5.4885964912280705E-2</v>
      </c>
      <c r="G69" s="47">
        <f t="shared" si="0"/>
        <v>3.2931578947368423</v>
      </c>
      <c r="H69" s="47">
        <f>+F69/G86</f>
        <v>4.668349819290765E-5</v>
      </c>
      <c r="I69" s="48">
        <f>+G69/G86</f>
        <v>2.8010098915744589E-3</v>
      </c>
      <c r="J69" s="49">
        <f t="shared" si="1"/>
        <v>3.8653936503727535</v>
      </c>
      <c r="K69" s="45">
        <f t="shared" si="17"/>
        <v>4.6683498192907652E-2</v>
      </c>
      <c r="L69" s="51">
        <f t="shared" si="3"/>
        <v>2.8035104826913702</v>
      </c>
      <c r="M69" s="51">
        <f t="shared" si="4"/>
        <v>2.2652069712043213E-2</v>
      </c>
      <c r="N69" s="51">
        <f t="shared" si="5"/>
        <v>2.0714757513240023E-3</v>
      </c>
      <c r="O69" s="52">
        <f t="shared" si="6"/>
        <v>4.5632131672179131E-3</v>
      </c>
      <c r="P69" s="51">
        <f t="shared" si="7"/>
        <v>2.8456891611760082E-2</v>
      </c>
      <c r="Q69" s="50">
        <f t="shared" si="8"/>
        <v>3.0857729543101942E-2</v>
      </c>
      <c r="R69" s="51">
        <f t="shared" si="9"/>
        <v>2.9430582213691618</v>
      </c>
      <c r="S69" s="51">
        <f t="shared" si="13"/>
        <v>1.8337547948920698E-2</v>
      </c>
      <c r="T69" s="12">
        <f t="shared" si="14"/>
        <v>6.7332853263050776E-5</v>
      </c>
      <c r="U69" s="124">
        <f t="shared" si="2"/>
        <v>3.4512294736842106</v>
      </c>
      <c r="V69" s="19">
        <f t="shared" si="15"/>
        <v>0.27609835789473686</v>
      </c>
      <c r="W69" s="12">
        <f t="shared" si="18"/>
        <v>97.714203564912296</v>
      </c>
      <c r="X69" s="53">
        <f t="shared" si="16"/>
        <v>1165.4842982456144</v>
      </c>
      <c r="Y69" s="19">
        <f t="shared" si="10"/>
        <v>99.131096218900595</v>
      </c>
      <c r="Z69" s="19"/>
      <c r="AB69" s="54">
        <f t="shared" si="11"/>
        <v>8.6890378109940603E-3</v>
      </c>
    </row>
    <row r="70" spans="1:28" x14ac:dyDescent="0.25">
      <c r="A70" s="41">
        <v>59</v>
      </c>
      <c r="B70" s="42">
        <v>39601</v>
      </c>
      <c r="C70" s="43"/>
      <c r="D70" s="55">
        <v>1440</v>
      </c>
      <c r="E70" s="56">
        <f t="shared" si="12"/>
        <v>60</v>
      </c>
      <c r="F70" s="45">
        <f>+'[1]Con 8hE'!E72</f>
        <v>4.3921052631578944E-2</v>
      </c>
      <c r="G70" s="47">
        <f t="shared" si="0"/>
        <v>2.6352631578947365</v>
      </c>
      <c r="H70" s="47">
        <f>+F70/G86</f>
        <v>3.7357243959068016E-5</v>
      </c>
      <c r="I70" s="48">
        <f>+G70/G86</f>
        <v>2.2414346375440809E-3</v>
      </c>
      <c r="J70" s="49">
        <f t="shared" si="1"/>
        <v>3.2276658780634766</v>
      </c>
      <c r="K70" s="45">
        <f t="shared" si="17"/>
        <v>3.7357243959068018E-2</v>
      </c>
      <c r="L70" s="51">
        <f t="shared" si="3"/>
        <v>2.9254022428083859</v>
      </c>
      <c r="M70" s="51">
        <f t="shared" si="4"/>
        <v>1.8126724156656601E-2</v>
      </c>
      <c r="N70" s="51">
        <f t="shared" si="5"/>
        <v>9.0760572819259468E-4</v>
      </c>
      <c r="O70" s="52">
        <f t="shared" si="6"/>
        <v>2.2608355827614373E-3</v>
      </c>
      <c r="P70" s="51">
        <f t="shared" si="7"/>
        <v>2.1248516367468932E-2</v>
      </c>
      <c r="Q70" s="50">
        <f t="shared" si="8"/>
        <v>2.2171074800402948E-2</v>
      </c>
      <c r="R70" s="51">
        <f t="shared" si="9"/>
        <v>3.0710172744721689</v>
      </c>
      <c r="S70" s="51">
        <f t="shared" si="13"/>
        <v>1.4166937710165261E-2</v>
      </c>
      <c r="T70" s="12">
        <f t="shared" si="14"/>
        <v>1.6356772129571486E-5</v>
      </c>
      <c r="U70" s="124">
        <f t="shared" si="2"/>
        <v>2.7617557894736842</v>
      </c>
      <c r="V70" s="19">
        <f t="shared" si="15"/>
        <v>0.22094046315789476</v>
      </c>
      <c r="W70" s="12">
        <f t="shared" si="18"/>
        <v>97.935144028070184</v>
      </c>
      <c r="X70" s="53">
        <f t="shared" si="16"/>
        <v>1168.1195614035091</v>
      </c>
      <c r="Y70" s="19">
        <f t="shared" si="10"/>
        <v>99.355240401761421</v>
      </c>
      <c r="Z70" s="19"/>
      <c r="AB70" s="54">
        <f t="shared" si="11"/>
        <v>6.4475959823857565E-3</v>
      </c>
    </row>
    <row r="71" spans="1:28" x14ac:dyDescent="0.25">
      <c r="A71" s="41">
        <v>60</v>
      </c>
      <c r="B71" s="42">
        <v>39601</v>
      </c>
      <c r="C71" s="43"/>
      <c r="D71" s="55">
        <v>1470</v>
      </c>
      <c r="E71" s="56">
        <f t="shared" si="12"/>
        <v>30</v>
      </c>
      <c r="F71" s="45">
        <f>+'[1]Con 8hE'!E73</f>
        <v>3.2956140350877197E-2</v>
      </c>
      <c r="G71" s="47">
        <f t="shared" si="0"/>
        <v>0.98868421052631594</v>
      </c>
      <c r="H71" s="47">
        <f>+F71/G86</f>
        <v>2.8030989725228393E-5</v>
      </c>
      <c r="I71" s="48">
        <f>+G71/G86</f>
        <v>8.409296917568518E-4</v>
      </c>
      <c r="J71" s="49">
        <f t="shared" si="1"/>
        <v>1.2361666468825721</v>
      </c>
      <c r="K71" s="45">
        <f t="shared" si="17"/>
        <v>2.8030989725228394E-2</v>
      </c>
      <c r="L71" s="51">
        <f t="shared" si="3"/>
        <v>2.986348122866894</v>
      </c>
      <c r="M71" s="51">
        <f t="shared" si="4"/>
        <v>1.3601378601269995E-2</v>
      </c>
      <c r="N71" s="51">
        <f t="shared" si="5"/>
        <v>5.8873483094110048E-4</v>
      </c>
      <c r="O71" s="52">
        <f t="shared" si="6"/>
        <v>1.5641939528243461E-3</v>
      </c>
      <c r="P71" s="51">
        <f t="shared" si="7"/>
        <v>1.8346052919671039E-2</v>
      </c>
      <c r="Q71" s="50">
        <f t="shared" si="8"/>
        <v>1.87604592181074E-2</v>
      </c>
      <c r="R71" s="51">
        <f t="shared" si="9"/>
        <v>3.1349968010236724</v>
      </c>
      <c r="S71" s="51">
        <f t="shared" si="13"/>
        <v>1.2455249695010254E-2</v>
      </c>
      <c r="T71" s="12">
        <f t="shared" si="14"/>
        <v>2.6616112811027427E-5</v>
      </c>
      <c r="U71" s="124">
        <f t="shared" si="2"/>
        <v>1.0361410526315791</v>
      </c>
      <c r="V71" s="19">
        <f t="shared" si="15"/>
        <v>8.2891284210526328E-2</v>
      </c>
      <c r="W71" s="12">
        <f t="shared" si="18"/>
        <v>98.018035312280716</v>
      </c>
      <c r="X71" s="53">
        <f t="shared" si="16"/>
        <v>1169.1082456140355</v>
      </c>
      <c r="Y71" s="19">
        <f t="shared" si="10"/>
        <v>99.439333640727696</v>
      </c>
      <c r="Z71" s="19"/>
      <c r="AB71" s="54">
        <f t="shared" si="11"/>
        <v>5.6066635927229935E-3</v>
      </c>
    </row>
    <row r="72" spans="1:28" x14ac:dyDescent="0.25">
      <c r="A72" s="41">
        <v>61</v>
      </c>
      <c r="B72" s="42">
        <v>39601</v>
      </c>
      <c r="C72" s="43"/>
      <c r="D72" s="55">
        <v>1500</v>
      </c>
      <c r="E72" s="56">
        <f t="shared" si="12"/>
        <v>30</v>
      </c>
      <c r="F72" s="45">
        <f>+'[1]Con 8hE'!E74</f>
        <v>3.2956140350877197E-2</v>
      </c>
      <c r="G72" s="47">
        <f t="shared" si="0"/>
        <v>0.98868421052631594</v>
      </c>
      <c r="H72" s="47">
        <f>+F72/G86</f>
        <v>2.8030989725228393E-5</v>
      </c>
      <c r="I72" s="48">
        <f>+G72/G86</f>
        <v>8.409296917568518E-4</v>
      </c>
      <c r="J72" s="49">
        <f t="shared" si="1"/>
        <v>1.2613945376352778</v>
      </c>
      <c r="K72" s="45">
        <f t="shared" si="17"/>
        <v>2.8030989725228394E-2</v>
      </c>
      <c r="L72" s="51">
        <f t="shared" si="3"/>
        <v>3.0472940029254021</v>
      </c>
      <c r="M72" s="51">
        <f t="shared" si="4"/>
        <v>1.3601378601269995E-2</v>
      </c>
      <c r="N72" s="51">
        <f t="shared" si="5"/>
        <v>3.7677734032396493E-4</v>
      </c>
      <c r="O72" s="52">
        <f t="shared" si="6"/>
        <v>1.0698606959257553E-3</v>
      </c>
      <c r="P72" s="51">
        <f t="shared" si="7"/>
        <v>1.5832171268225725E-2</v>
      </c>
      <c r="Q72" s="50">
        <f t="shared" si="8"/>
        <v>1.5857116703869512E-2</v>
      </c>
      <c r="R72" s="51">
        <f t="shared" si="9"/>
        <v>3.1989763275751759</v>
      </c>
      <c r="S72" s="51">
        <f t="shared" si="13"/>
        <v>1.0952247993033688E-2</v>
      </c>
      <c r="T72" s="12">
        <f t="shared" si="14"/>
        <v>5.0883543875192719E-6</v>
      </c>
      <c r="U72" s="124">
        <f t="shared" si="2"/>
        <v>1.0361410526315791</v>
      </c>
      <c r="V72" s="19">
        <f t="shared" si="15"/>
        <v>8.2891284210526328E-2</v>
      </c>
      <c r="W72" s="12">
        <f t="shared" si="18"/>
        <v>98.100926596491249</v>
      </c>
      <c r="X72" s="53">
        <f t="shared" si="16"/>
        <v>1170.0969298245618</v>
      </c>
      <c r="Y72" s="19">
        <f t="shared" si="10"/>
        <v>99.523426879693957</v>
      </c>
      <c r="Z72" s="19"/>
      <c r="AB72" s="54">
        <f t="shared" si="11"/>
        <v>4.7657312030604526E-3</v>
      </c>
    </row>
    <row r="73" spans="1:28" x14ac:dyDescent="0.25">
      <c r="A73" s="41">
        <v>62</v>
      </c>
      <c r="B73" s="42">
        <v>39601</v>
      </c>
      <c r="C73" s="43"/>
      <c r="D73" s="55">
        <v>1530</v>
      </c>
      <c r="E73" s="56">
        <f t="shared" si="12"/>
        <v>30</v>
      </c>
      <c r="F73" s="45">
        <f>+'[1]Con 8hE'!E75</f>
        <v>2.1991228070175433E-2</v>
      </c>
      <c r="G73" s="47">
        <f t="shared" si="0"/>
        <v>0.65973684210526296</v>
      </c>
      <c r="H73" s="47">
        <f>+F73/G86</f>
        <v>1.8704735491388756E-5</v>
      </c>
      <c r="I73" s="48">
        <f>+G73/G86</f>
        <v>5.6114206474166259E-4</v>
      </c>
      <c r="J73" s="49">
        <f t="shared" si="1"/>
        <v>0.85854735905474377</v>
      </c>
      <c r="K73" s="45">
        <f t="shared" si="17"/>
        <v>1.8704735491388756E-2</v>
      </c>
      <c r="L73" s="51">
        <f t="shared" si="3"/>
        <v>3.1082398829839102</v>
      </c>
      <c r="M73" s="51">
        <f t="shared" si="4"/>
        <v>9.0760330458833811E-3</v>
      </c>
      <c r="N73" s="51">
        <f t="shared" si="5"/>
        <v>2.3789886230762331E-4</v>
      </c>
      <c r="O73" s="52">
        <f t="shared" si="6"/>
        <v>7.2340061022489201E-4</v>
      </c>
      <c r="P73" s="51">
        <f t="shared" si="7"/>
        <v>1.3656411021282851E-2</v>
      </c>
      <c r="Q73" s="50">
        <f t="shared" si="8"/>
        <v>1.3388991688235258E-2</v>
      </c>
      <c r="R73" s="51">
        <f t="shared" si="9"/>
        <v>3.2629558541266794</v>
      </c>
      <c r="S73" s="51">
        <f t="shared" si="13"/>
        <v>9.6322848171358083E-3</v>
      </c>
      <c r="T73" s="12">
        <f t="shared" si="14"/>
        <v>1.8601612250637745E-5</v>
      </c>
      <c r="U73" s="124">
        <f t="shared" si="2"/>
        <v>0.69140421052631562</v>
      </c>
      <c r="V73" s="19">
        <f t="shared" si="15"/>
        <v>5.5312336842105257E-2</v>
      </c>
      <c r="W73" s="12">
        <f t="shared" si="18"/>
        <v>98.156238933333356</v>
      </c>
      <c r="X73" s="53">
        <f t="shared" si="16"/>
        <v>1170.7566666666671</v>
      </c>
      <c r="Y73" s="19">
        <f t="shared" si="10"/>
        <v>99.57954126619606</v>
      </c>
      <c r="Z73" s="19"/>
      <c r="AB73" s="54">
        <f t="shared" si="11"/>
        <v>4.2045873380394116E-3</v>
      </c>
    </row>
    <row r="74" spans="1:28" x14ac:dyDescent="0.25">
      <c r="A74" s="41">
        <v>63</v>
      </c>
      <c r="B74" s="42">
        <v>39601</v>
      </c>
      <c r="C74" s="43"/>
      <c r="D74" s="55">
        <v>1560</v>
      </c>
      <c r="E74" s="56">
        <f>+D74-D73</f>
        <v>30</v>
      </c>
      <c r="F74" s="45">
        <f>+'[1]Con 8hE'!E76</f>
        <v>2.1991228070175433E-2</v>
      </c>
      <c r="G74" s="47">
        <f t="shared" si="0"/>
        <v>0.65973684210526296</v>
      </c>
      <c r="H74" s="47">
        <f>+F74/G86</f>
        <v>1.8704735491388756E-5</v>
      </c>
      <c r="I74" s="48">
        <f>+G74/G86</f>
        <v>5.6114206474166259E-4</v>
      </c>
      <c r="J74" s="49">
        <f t="shared" si="1"/>
        <v>0.87538162099699368</v>
      </c>
      <c r="K74" s="45">
        <f t="shared" si="17"/>
        <v>1.8704735491388756E-2</v>
      </c>
      <c r="L74" s="51">
        <f t="shared" si="3"/>
        <v>3.1691857630424183</v>
      </c>
      <c r="M74" s="51">
        <f t="shared" si="4"/>
        <v>9.0760330458833811E-3</v>
      </c>
      <c r="N74" s="51">
        <f t="shared" si="5"/>
        <v>1.4819805284807823E-4</v>
      </c>
      <c r="O74" s="52">
        <f t="shared" si="6"/>
        <v>4.8355459686417161E-4</v>
      </c>
      <c r="P74" s="51">
        <f t="shared" si="7"/>
        <v>1.1774547304288665E-2</v>
      </c>
      <c r="Q74" s="50">
        <f t="shared" si="8"/>
        <v>1.1293593888956469E-2</v>
      </c>
      <c r="R74" s="51">
        <f t="shared" si="9"/>
        <v>3.326935380678183</v>
      </c>
      <c r="S74" s="51">
        <f t="shared" si="13"/>
        <v>8.4728819011746954E-3</v>
      </c>
      <c r="T74" s="12">
        <f t="shared" si="14"/>
        <v>4.9175760927310219E-6</v>
      </c>
      <c r="U74" s="124">
        <f t="shared" si="2"/>
        <v>0.69140421052631562</v>
      </c>
      <c r="V74" s="19">
        <f t="shared" si="15"/>
        <v>5.5312336842105257E-2</v>
      </c>
      <c r="W74" s="12">
        <f t="shared" si="18"/>
        <v>98.211551270175462</v>
      </c>
      <c r="X74" s="53">
        <f t="shared" si="16"/>
        <v>1171.4164035087724</v>
      </c>
      <c r="Y74" s="19">
        <f t="shared" si="10"/>
        <v>99.635655652698176</v>
      </c>
      <c r="Z74" s="12"/>
      <c r="AB74" s="54">
        <f t="shared" si="11"/>
        <v>3.6434434730182597E-3</v>
      </c>
    </row>
    <row r="75" spans="1:28" x14ac:dyDescent="0.25">
      <c r="A75" s="41">
        <v>64</v>
      </c>
      <c r="B75" s="42">
        <v>39601</v>
      </c>
      <c r="C75" s="43"/>
      <c r="D75" s="55">
        <v>1590</v>
      </c>
      <c r="E75" s="56">
        <f t="shared" si="12"/>
        <v>30</v>
      </c>
      <c r="F75" s="45">
        <f>+'[1]Con 8hE'!E77</f>
        <v>1.1026315789473686E-2</v>
      </c>
      <c r="G75" s="47">
        <f t="shared" ref="G75:G81" si="19">+F75*E75</f>
        <v>0.33078947368421058</v>
      </c>
      <c r="H75" s="47">
        <f>+F75/G86</f>
        <v>9.3784812575491325E-6</v>
      </c>
      <c r="I75" s="48">
        <f>+G75/G86</f>
        <v>2.8135443772647398E-4</v>
      </c>
      <c r="J75" s="49">
        <f t="shared" ref="J75:J81" si="20">+D75*I75</f>
        <v>0.44735355598509363</v>
      </c>
      <c r="K75" s="45">
        <f t="shared" si="17"/>
        <v>9.3784812575491323E-3</v>
      </c>
      <c r="L75" s="51">
        <f t="shared" si="3"/>
        <v>3.2301316431009264</v>
      </c>
      <c r="M75" s="51">
        <f t="shared" si="4"/>
        <v>4.5506874904967754E-3</v>
      </c>
      <c r="N75" s="51">
        <f t="shared" si="5"/>
        <v>9.1082548421800506E-5</v>
      </c>
      <c r="O75" s="52">
        <f t="shared" si="6"/>
        <v>3.1954142619973491E-4</v>
      </c>
      <c r="P75" s="51">
        <f t="shared" si="7"/>
        <v>1.0147886714245682E-2</v>
      </c>
      <c r="Q75" s="50">
        <f t="shared" si="8"/>
        <v>9.5168636166873977E-3</v>
      </c>
      <c r="R75" s="51">
        <f t="shared" si="9"/>
        <v>3.3909149072296865</v>
      </c>
      <c r="S75" s="51">
        <f t="shared" si="13"/>
        <v>7.4543387816244575E-3</v>
      </c>
      <c r="T75" s="12">
        <f t="shared" si="14"/>
        <v>2.4662905316345695E-5</v>
      </c>
      <c r="U75" s="124">
        <f t="shared" ref="U75:U81" si="21">1048/1000*F75*E75</f>
        <v>0.34666736842105272</v>
      </c>
      <c r="V75" s="19">
        <f t="shared" si="15"/>
        <v>2.7733389473684218E-2</v>
      </c>
      <c r="W75" s="12">
        <f t="shared" si="18"/>
        <v>98.239284659649144</v>
      </c>
      <c r="X75" s="53">
        <f t="shared" si="16"/>
        <v>1171.7471929824567</v>
      </c>
      <c r="Y75" s="19">
        <f t="shared" si="10"/>
        <v>99.663791186736134</v>
      </c>
      <c r="Z75" s="12"/>
      <c r="AB75" s="54">
        <f t="shared" si="11"/>
        <v>3.3620881326386076E-3</v>
      </c>
    </row>
    <row r="76" spans="1:28" x14ac:dyDescent="0.25">
      <c r="A76" s="41">
        <v>65</v>
      </c>
      <c r="B76" s="42">
        <v>39601</v>
      </c>
      <c r="C76" s="43"/>
      <c r="D76" s="55">
        <v>1620</v>
      </c>
      <c r="E76" s="56">
        <f t="shared" si="12"/>
        <v>30</v>
      </c>
      <c r="F76" s="45">
        <f>+'[1]Con 8hE'!E78</f>
        <v>3.2956140350877197E-2</v>
      </c>
      <c r="G76" s="47">
        <f t="shared" si="19"/>
        <v>0.98868421052631594</v>
      </c>
      <c r="H76" s="47">
        <f>+F76/G86</f>
        <v>2.8030989725228393E-5</v>
      </c>
      <c r="I76" s="48">
        <f>+G76/G86</f>
        <v>8.409296917568518E-4</v>
      </c>
      <c r="J76" s="49">
        <f t="shared" si="20"/>
        <v>1.3623061006460999</v>
      </c>
      <c r="K76" s="45">
        <f t="shared" si="17"/>
        <v>2.8030989725228394E-2</v>
      </c>
      <c r="L76" s="51">
        <f t="shared" ref="L76:L81" si="22">+D76/(8.204*60)</f>
        <v>3.2910775231594345</v>
      </c>
      <c r="M76" s="51">
        <f t="shared" ref="M76:M81" si="23">+F76/2.423</f>
        <v>1.3601378601269995E-2</v>
      </c>
      <c r="N76" s="51">
        <f t="shared" ref="N76:N81" si="24">+(1/(2*SQRT(3.1416*0.1377))*EXP(-((1-L76)^2/(4*0.1377))))</f>
        <v>5.5229408566254236E-5</v>
      </c>
      <c r="O76" s="52">
        <f t="shared" ref="O76:O81" si="25">+(1/(2*SQRT(3.1416*0.1648))*EXP(-((1-L76)^2/(4*0.1618))))</f>
        <v>2.0874872415469397E-4</v>
      </c>
      <c r="P76" s="51">
        <f t="shared" ref="P76:P81" si="26">+(1/(2*SQRT(3.1416*L76*0.0988))*EXP(-((1-L76)^2/(4*L76*0.0988))))</f>
        <v>8.7426281083685803E-3</v>
      </c>
      <c r="Q76" s="50">
        <f t="shared" ref="Q76:Q81" si="27">+(3.6308*(3.6308*L76)^(3.6308-1)/FACT(3.6308-1))*EXP(-3.6308*L76)</f>
        <v>8.012143311138642E-3</v>
      </c>
      <c r="R76" s="51">
        <f t="shared" ref="R76:R81" si="28">+D76/468.9</f>
        <v>3.45489443378119</v>
      </c>
      <c r="S76" s="51">
        <f t="shared" si="13"/>
        <v>6.5593889570201456E-3</v>
      </c>
      <c r="T76" s="12">
        <f t="shared" si="14"/>
        <v>3.1239551128449705E-5</v>
      </c>
      <c r="U76" s="124">
        <f t="shared" si="21"/>
        <v>1.0361410526315791</v>
      </c>
      <c r="V76" s="19">
        <f t="shared" si="15"/>
        <v>8.2891284210526328E-2</v>
      </c>
      <c r="W76" s="12">
        <f t="shared" si="18"/>
        <v>98.322175943859676</v>
      </c>
      <c r="X76" s="53">
        <f t="shared" si="16"/>
        <v>1172.735877192983</v>
      </c>
      <c r="Y76" s="19">
        <f t="shared" ref="Y76:Y81" si="29">+X76/1175.7*100</f>
        <v>99.747884425702395</v>
      </c>
      <c r="Z76" s="12"/>
      <c r="AB76" s="54">
        <f t="shared" ref="AB76:AB81" si="30">1-Y76/100</f>
        <v>2.5211557429760667E-3</v>
      </c>
    </row>
    <row r="77" spans="1:28" x14ac:dyDescent="0.25">
      <c r="A77" s="41">
        <v>66</v>
      </c>
      <c r="B77" s="42">
        <v>39601</v>
      </c>
      <c r="C77" s="43"/>
      <c r="D77" s="55">
        <v>1650</v>
      </c>
      <c r="E77" s="56">
        <f>+D77-D76</f>
        <v>30</v>
      </c>
      <c r="F77" s="45">
        <f>+'[1]Con 8hE'!E79</f>
        <v>3.2956140350877197E-2</v>
      </c>
      <c r="G77" s="47">
        <f t="shared" si="19"/>
        <v>0.98868421052631594</v>
      </c>
      <c r="H77" s="47">
        <f>+F77/G86</f>
        <v>2.8030989725228393E-5</v>
      </c>
      <c r="I77" s="48">
        <f>+G77/G86</f>
        <v>8.409296917568518E-4</v>
      </c>
      <c r="J77" s="49">
        <f t="shared" si="20"/>
        <v>1.3875339913988054</v>
      </c>
      <c r="K77" s="45">
        <f t="shared" si="17"/>
        <v>2.8030989725228394E-2</v>
      </c>
      <c r="L77" s="51">
        <f t="shared" si="22"/>
        <v>3.3520234032179426</v>
      </c>
      <c r="M77" s="51">
        <f t="shared" si="23"/>
        <v>1.3601378601269995E-2</v>
      </c>
      <c r="N77" s="51">
        <f t="shared" si="24"/>
        <v>3.3040617484057994E-5</v>
      </c>
      <c r="O77" s="52">
        <f t="shared" si="25"/>
        <v>1.3481415624333869E-4</v>
      </c>
      <c r="P77" s="51">
        <f t="shared" si="26"/>
        <v>7.5292857897256114E-3</v>
      </c>
      <c r="Q77" s="50">
        <f t="shared" si="27"/>
        <v>6.739251850793767E-3</v>
      </c>
      <c r="R77" s="51">
        <f t="shared" si="28"/>
        <v>3.5188739603326935</v>
      </c>
      <c r="S77" s="51">
        <f t="shared" ref="S77:S81" si="31">+((1.25/0.46)*(1/(2*SQRT(3.1416*0.1465*R77^3))*EXP(-((1-R77)^2/(4*R77*0.1465)))))/2.423</f>
        <v>5.7728982759785311E-3</v>
      </c>
      <c r="T77" s="12">
        <f>+(Q77-M77)^2</f>
        <v>4.7088783539601433E-5</v>
      </c>
      <c r="U77" s="124">
        <f t="shared" si="21"/>
        <v>1.0361410526315791</v>
      </c>
      <c r="V77" s="19">
        <f t="shared" ref="V77:V82" si="32">+U77/(5000*0.25)*100</f>
        <v>8.2891284210526328E-2</v>
      </c>
      <c r="W77" s="12">
        <f t="shared" si="18"/>
        <v>98.405067228070209</v>
      </c>
      <c r="X77" s="53">
        <f>+X76+G77</f>
        <v>1173.7245614035094</v>
      </c>
      <c r="Y77" s="19">
        <f t="shared" si="29"/>
        <v>99.831977664668642</v>
      </c>
      <c r="Z77" s="12"/>
      <c r="AB77" s="54">
        <f t="shared" si="30"/>
        <v>1.6802233533135258E-3</v>
      </c>
    </row>
    <row r="78" spans="1:28" x14ac:dyDescent="0.25">
      <c r="A78" s="41">
        <v>67</v>
      </c>
      <c r="B78" s="42">
        <v>39601</v>
      </c>
      <c r="C78" s="43"/>
      <c r="D78" s="55">
        <v>1680</v>
      </c>
      <c r="E78" s="56">
        <f>+D78-D77</f>
        <v>30</v>
      </c>
      <c r="F78" s="45">
        <f>+'[1]Con 8hE'!E80</f>
        <v>1.1026315789473686E-2</v>
      </c>
      <c r="G78" s="47">
        <f t="shared" si="19"/>
        <v>0.33078947368421058</v>
      </c>
      <c r="H78" s="47">
        <f>+F78/G86</f>
        <v>9.3784812575491325E-6</v>
      </c>
      <c r="I78" s="48">
        <f>+G78/G86</f>
        <v>2.8135443772647398E-4</v>
      </c>
      <c r="J78" s="49">
        <f t="shared" si="20"/>
        <v>0.47267545538047628</v>
      </c>
      <c r="K78" s="45">
        <f>+H78*1000</f>
        <v>9.3784812575491323E-3</v>
      </c>
      <c r="L78" s="51">
        <f t="shared" si="22"/>
        <v>3.4129692832764507</v>
      </c>
      <c r="M78" s="51">
        <f t="shared" si="23"/>
        <v>4.5506874904967754E-3</v>
      </c>
      <c r="N78" s="51">
        <f t="shared" si="24"/>
        <v>1.9501519923786944E-5</v>
      </c>
      <c r="O78" s="52">
        <f t="shared" si="25"/>
        <v>8.6072055324648114E-5</v>
      </c>
      <c r="P78" s="51">
        <f t="shared" si="26"/>
        <v>6.4821717024380384E-3</v>
      </c>
      <c r="Q78" s="50">
        <f t="shared" si="27"/>
        <v>5.6636564546414195E-3</v>
      </c>
      <c r="R78" s="51">
        <f t="shared" si="28"/>
        <v>3.582853486884197</v>
      </c>
      <c r="S78" s="51">
        <f t="shared" si="31"/>
        <v>5.0816005104507072E-3</v>
      </c>
      <c r="T78" s="12">
        <f>+(Q78-M78)^2</f>
        <v>1.238699915149202E-6</v>
      </c>
      <c r="U78" s="124">
        <f t="shared" si="21"/>
        <v>0.34666736842105272</v>
      </c>
      <c r="V78" s="19">
        <f t="shared" si="32"/>
        <v>2.7733389473684218E-2</v>
      </c>
      <c r="W78" s="12">
        <f>+W77+V78</f>
        <v>98.43280061754389</v>
      </c>
      <c r="X78" s="53">
        <f>+X77+G78</f>
        <v>1174.0553508771936</v>
      </c>
      <c r="Y78" s="19">
        <f t="shared" si="29"/>
        <v>99.860113198706614</v>
      </c>
      <c r="Z78" s="12"/>
      <c r="AB78" s="54">
        <f t="shared" si="30"/>
        <v>1.3988680129338738E-3</v>
      </c>
    </row>
    <row r="79" spans="1:28" x14ac:dyDescent="0.25">
      <c r="A79" s="41">
        <v>68</v>
      </c>
      <c r="B79" s="42">
        <v>39601</v>
      </c>
      <c r="C79" s="43"/>
      <c r="D79" s="55">
        <v>1710</v>
      </c>
      <c r="E79" s="56">
        <f>+D79-D78</f>
        <v>30</v>
      </c>
      <c r="F79" s="45">
        <f>+'[1]Con 8hE'!E81</f>
        <v>5.4885964912280705E-2</v>
      </c>
      <c r="G79" s="47">
        <f t="shared" si="19"/>
        <v>1.6465789473684211</v>
      </c>
      <c r="H79" s="47">
        <f>+F79/G86</f>
        <v>4.668349819290765E-5</v>
      </c>
      <c r="I79" s="48">
        <f>+G79/G86</f>
        <v>1.4005049457872295E-3</v>
      </c>
      <c r="J79" s="49">
        <f t="shared" si="20"/>
        <v>2.3948634572961622</v>
      </c>
      <c r="K79" s="45">
        <f>+H79*1000</f>
        <v>4.6683498192907652E-2</v>
      </c>
      <c r="L79" s="51">
        <f t="shared" si="22"/>
        <v>3.4739151633349583</v>
      </c>
      <c r="M79" s="51">
        <f t="shared" si="23"/>
        <v>2.2652069712043213E-2</v>
      </c>
      <c r="N79" s="51">
        <f t="shared" si="24"/>
        <v>1.135615496868845E-5</v>
      </c>
      <c r="O79" s="52">
        <f t="shared" si="25"/>
        <v>5.4325515606802695E-5</v>
      </c>
      <c r="P79" s="51">
        <f t="shared" si="26"/>
        <v>5.5789326799654503E-3</v>
      </c>
      <c r="Q79" s="50">
        <f t="shared" si="27"/>
        <v>4.7557358954545392E-3</v>
      </c>
      <c r="R79" s="51">
        <f t="shared" si="28"/>
        <v>3.6468330134357005</v>
      </c>
      <c r="S79" s="51">
        <f t="shared" si="31"/>
        <v>4.4738656292251785E-3</v>
      </c>
      <c r="T79" s="12">
        <f>+(Q79-M79)^2</f>
        <v>3.2027876407477525E-4</v>
      </c>
      <c r="U79" s="124">
        <f t="shared" si="21"/>
        <v>1.7256147368421053</v>
      </c>
      <c r="V79" s="19">
        <f t="shared" si="32"/>
        <v>0.13804917894736843</v>
      </c>
      <c r="W79" s="12">
        <f>+W78+V79</f>
        <v>98.57084979649126</v>
      </c>
      <c r="X79" s="53">
        <f>+X78+G79</f>
        <v>1175.7019298245621</v>
      </c>
      <c r="Y79" s="19">
        <f t="shared" si="29"/>
        <v>100.00016414260118</v>
      </c>
      <c r="Z79" s="12"/>
      <c r="AB79" s="54">
        <f t="shared" si="30"/>
        <v>-1.6414260117780799E-6</v>
      </c>
    </row>
    <row r="80" spans="1:28" x14ac:dyDescent="0.25">
      <c r="A80" s="41">
        <v>69</v>
      </c>
      <c r="B80" s="42">
        <v>39601</v>
      </c>
      <c r="C80" s="43"/>
      <c r="D80" s="55">
        <v>1740</v>
      </c>
      <c r="E80" s="56">
        <f>+D80-D79</f>
        <v>30</v>
      </c>
      <c r="F80" s="45">
        <f>+'[1]Con 8hE'!E82</f>
        <v>6.1403508771932375E-5</v>
      </c>
      <c r="G80" s="47">
        <f t="shared" si="19"/>
        <v>1.8421052631579712E-3</v>
      </c>
      <c r="H80" s="47">
        <f>+F80/G86</f>
        <v>5.2227023709504091E-8</v>
      </c>
      <c r="I80" s="48">
        <f>+G80/G86</f>
        <v>1.5668107112851227E-6</v>
      </c>
      <c r="J80" s="49">
        <f t="shared" si="20"/>
        <v>2.7262506376361136E-3</v>
      </c>
      <c r="K80" s="45">
        <f>+H80*1000</f>
        <v>5.2227023709504093E-5</v>
      </c>
      <c r="L80" s="51">
        <f t="shared" si="22"/>
        <v>3.5348610433934664</v>
      </c>
      <c r="M80" s="51">
        <f t="shared" si="23"/>
        <v>2.5341935110166065E-5</v>
      </c>
      <c r="N80" s="51">
        <f t="shared" si="24"/>
        <v>6.5243417718017831E-6</v>
      </c>
      <c r="O80" s="52">
        <f t="shared" si="25"/>
        <v>3.389694414688888E-5</v>
      </c>
      <c r="P80" s="51">
        <f t="shared" si="26"/>
        <v>4.800138501782957E-3</v>
      </c>
      <c r="Q80" s="50">
        <f t="shared" si="27"/>
        <v>3.9901281248755534E-3</v>
      </c>
      <c r="R80" s="51">
        <f t="shared" si="28"/>
        <v>3.7108125399872041</v>
      </c>
      <c r="S80" s="51">
        <f t="shared" si="31"/>
        <v>3.9394967958750618E-3</v>
      </c>
      <c r="T80" s="12">
        <f>+(Q80-M80)^2</f>
        <v>1.5719529530554337E-5</v>
      </c>
      <c r="U80" s="124">
        <f t="shared" si="21"/>
        <v>1.9305263157895537E-3</v>
      </c>
      <c r="V80" s="19">
        <f t="shared" si="32"/>
        <v>1.5444210526316428E-4</v>
      </c>
      <c r="W80" s="12">
        <f>+W79+V80</f>
        <v>98.571004238596529</v>
      </c>
      <c r="X80" s="53">
        <f>+X79+G80</f>
        <v>1175.7037719298253</v>
      </c>
      <c r="Y80" s="19">
        <f t="shared" si="29"/>
        <v>100.00032082417498</v>
      </c>
      <c r="Z80" s="12"/>
      <c r="AB80" s="54">
        <f t="shared" si="30"/>
        <v>-3.2082417498191518E-6</v>
      </c>
    </row>
    <row r="81" spans="1:28" x14ac:dyDescent="0.25">
      <c r="A81" s="41">
        <v>70</v>
      </c>
      <c r="B81" s="42">
        <v>39601</v>
      </c>
      <c r="C81" s="43"/>
      <c r="D81" s="55">
        <v>1770</v>
      </c>
      <c r="E81" s="56">
        <f>+D81-D80</f>
        <v>30</v>
      </c>
      <c r="F81" s="45">
        <f>+'[1]Con 8hE'!E83</f>
        <v>0</v>
      </c>
      <c r="G81" s="47">
        <f t="shared" si="19"/>
        <v>0</v>
      </c>
      <c r="H81" s="47">
        <f>+F81/G86</f>
        <v>0</v>
      </c>
      <c r="I81" s="48">
        <f>+G81/G86</f>
        <v>0</v>
      </c>
      <c r="J81" s="49">
        <f t="shared" si="20"/>
        <v>0</v>
      </c>
      <c r="K81" s="45">
        <f>+H81*1000</f>
        <v>0</v>
      </c>
      <c r="L81" s="51">
        <f t="shared" si="22"/>
        <v>3.5958069234519745</v>
      </c>
      <c r="M81" s="51">
        <f t="shared" si="23"/>
        <v>0</v>
      </c>
      <c r="N81" s="51">
        <f t="shared" si="24"/>
        <v>3.6981509934780417E-6</v>
      </c>
      <c r="O81" s="52">
        <f t="shared" si="25"/>
        <v>2.0908951062920584E-5</v>
      </c>
      <c r="P81" s="51">
        <f t="shared" si="26"/>
        <v>4.1289164288267084E-3</v>
      </c>
      <c r="Q81" s="50">
        <f t="shared" si="27"/>
        <v>3.3451551522874841E-3</v>
      </c>
      <c r="R81" s="51">
        <f t="shared" si="28"/>
        <v>3.7747920665387076</v>
      </c>
      <c r="S81" s="51">
        <f t="shared" si="31"/>
        <v>3.4695525758670822E-3</v>
      </c>
      <c r="T81" s="12">
        <f>+(Q81-M81)^2</f>
        <v>1.1190062992875501E-5</v>
      </c>
      <c r="U81" s="124">
        <f t="shared" si="21"/>
        <v>0</v>
      </c>
      <c r="V81" s="19">
        <f t="shared" si="32"/>
        <v>0</v>
      </c>
      <c r="W81" s="12">
        <f>+W80+V81</f>
        <v>98.571004238596529</v>
      </c>
      <c r="X81" s="53">
        <f>+X80+G81</f>
        <v>1175.7037719298253</v>
      </c>
      <c r="Y81" s="19">
        <f t="shared" si="29"/>
        <v>100.00032082417498</v>
      </c>
      <c r="Z81" s="12"/>
      <c r="AB81" s="54">
        <f t="shared" si="30"/>
        <v>-3.2082417498191518E-6</v>
      </c>
    </row>
    <row r="82" spans="1:28" x14ac:dyDescent="0.25">
      <c r="F82" s="84">
        <f>+MAX(F5:F81)</f>
        <v>2.7851491228070175</v>
      </c>
      <c r="G82" s="85"/>
      <c r="H82" s="85"/>
      <c r="I82" s="10"/>
      <c r="J82" s="15"/>
      <c r="K82" s="54"/>
      <c r="L82" s="19"/>
      <c r="N82" s="53"/>
      <c r="O82" s="11"/>
      <c r="P82" s="53"/>
      <c r="Q82" s="53" t="s">
        <v>81</v>
      </c>
      <c r="R82" s="53"/>
      <c r="S82" s="53"/>
      <c r="T82" s="129">
        <f>SUM(T12:T81)</f>
        <v>10.91663599875004</v>
      </c>
      <c r="U82" s="3">
        <f>SUM(U5:U81)</f>
        <v>1232.1375529824566</v>
      </c>
      <c r="V82" s="19">
        <f t="shared" si="32"/>
        <v>98.571004238596529</v>
      </c>
      <c r="W82" s="12"/>
      <c r="X82" s="53"/>
      <c r="Y82" s="19"/>
      <c r="Z82" s="12"/>
    </row>
    <row r="83" spans="1:28" x14ac:dyDescent="0.25">
      <c r="D83">
        <f>+D81/60</f>
        <v>29.5</v>
      </c>
      <c r="F83" s="84">
        <f>1.25/F82</f>
        <v>0.44880900263616236</v>
      </c>
      <c r="G83" s="85"/>
      <c r="H83" s="85"/>
      <c r="I83" s="10"/>
      <c r="J83" s="15"/>
      <c r="K83" s="54"/>
      <c r="L83" s="19"/>
      <c r="N83" s="19"/>
      <c r="O83" s="16"/>
      <c r="P83" s="19"/>
      <c r="Q83" s="19" t="s">
        <v>82</v>
      </c>
      <c r="R83" s="19"/>
      <c r="S83" s="19"/>
      <c r="T83" s="19"/>
      <c r="U83" s="53">
        <f>+U82/(5000*0.25)*100</f>
        <v>98.571004238596529</v>
      </c>
      <c r="V83" s="53"/>
      <c r="W83" s="53"/>
      <c r="X83" s="53"/>
      <c r="Y83" s="19"/>
      <c r="Z83" s="53"/>
    </row>
    <row r="84" spans="1:28" x14ac:dyDescent="0.25">
      <c r="F84" s="84"/>
      <c r="K84">
        <f>33*0.39</f>
        <v>12.870000000000001</v>
      </c>
      <c r="X84" s="53"/>
      <c r="Y84" s="19"/>
    </row>
    <row r="85" spans="1:28" x14ac:dyDescent="0.25">
      <c r="N85" s="19">
        <f>+CORREL(M13:M81,N13:N81)</f>
        <v>0.83453664325653165</v>
      </c>
      <c r="P85" s="19">
        <f>+CORREL(M12:M81,P12:P81)</f>
        <v>0.81963697772678656</v>
      </c>
      <c r="Q85" s="19">
        <f>+CORREL(M12:M81,Q12:Q81)</f>
        <v>0.9526490874581437</v>
      </c>
      <c r="R85" s="19"/>
      <c r="S85" s="19"/>
      <c r="T85" s="19"/>
      <c r="X85" s="53"/>
      <c r="Y85" s="19"/>
    </row>
    <row r="86" spans="1:28" x14ac:dyDescent="0.25">
      <c r="F86" t="s">
        <v>64</v>
      </c>
      <c r="G86" s="54">
        <f>SUM(G11:G81)</f>
        <v>1175.7037719298253</v>
      </c>
      <c r="I86" s="86" t="s">
        <v>83</v>
      </c>
      <c r="J86" s="9">
        <f>SUM(J11:J81)</f>
        <v>489.26540490156555</v>
      </c>
      <c r="X86" s="53"/>
      <c r="Y86" s="19"/>
    </row>
    <row r="87" spans="1:28" x14ac:dyDescent="0.25">
      <c r="E87" s="84">
        <f>1.25/F82</f>
        <v>0.44880900263616236</v>
      </c>
      <c r="J87">
        <f>+J86/60</f>
        <v>8.154423415026093</v>
      </c>
      <c r="K87" s="15"/>
      <c r="X87" s="53"/>
      <c r="Y87" s="19"/>
    </row>
    <row r="88" spans="1:28" x14ac:dyDescent="0.25">
      <c r="H88" t="s">
        <v>84</v>
      </c>
      <c r="I88">
        <f>1-0.9033</f>
        <v>9.6700000000000008E-2</v>
      </c>
      <c r="J88" s="88"/>
      <c r="X88" s="53"/>
      <c r="Y88" s="19"/>
    </row>
    <row r="89" spans="1:28" x14ac:dyDescent="0.25">
      <c r="H89" t="s">
        <v>85</v>
      </c>
      <c r="I89" s="15">
        <f>+I88*100</f>
        <v>9.6700000000000017</v>
      </c>
      <c r="J89" s="88"/>
      <c r="X89" s="3"/>
      <c r="Y89" s="3"/>
    </row>
    <row r="90" spans="1:28" x14ac:dyDescent="0.25">
      <c r="X90" s="3"/>
      <c r="Y90" s="3"/>
    </row>
    <row r="94" spans="1:28" x14ac:dyDescent="0.25">
      <c r="I94" t="s">
        <v>86</v>
      </c>
      <c r="J94" t="s">
        <v>87</v>
      </c>
      <c r="K94" t="s">
        <v>18</v>
      </c>
      <c r="L94" s="3" t="s">
        <v>19</v>
      </c>
      <c r="M94" s="3" t="s">
        <v>88</v>
      </c>
      <c r="N94" s="3" t="s">
        <v>89</v>
      </c>
      <c r="P94" s="3"/>
      <c r="Q94" s="3"/>
      <c r="R94" s="3"/>
      <c r="S94" s="3"/>
      <c r="T94" s="3"/>
      <c r="U94" s="3"/>
      <c r="V94" s="3"/>
      <c r="W94" s="3"/>
    </row>
    <row r="95" spans="1:28" x14ac:dyDescent="0.25">
      <c r="I95" s="92">
        <v>0.29166666666666669</v>
      </c>
      <c r="J95">
        <v>15</v>
      </c>
      <c r="K95">
        <v>1050</v>
      </c>
      <c r="L95">
        <v>1050</v>
      </c>
      <c r="M95" s="5">
        <v>29</v>
      </c>
      <c r="N95" s="5">
        <v>31.7</v>
      </c>
      <c r="O95" s="90"/>
      <c r="P95" s="5"/>
      <c r="Q95" s="5"/>
      <c r="R95" s="5"/>
      <c r="S95" s="5"/>
      <c r="T95" s="5"/>
      <c r="U95" s="5"/>
      <c r="V95" s="5"/>
      <c r="W95" s="5"/>
    </row>
    <row r="96" spans="1:28" x14ac:dyDescent="0.25">
      <c r="I96" s="92">
        <v>0.41666666666666669</v>
      </c>
      <c r="J96">
        <v>165</v>
      </c>
      <c r="K96">
        <v>1680</v>
      </c>
      <c r="L96">
        <v>1050</v>
      </c>
      <c r="M96" s="5">
        <v>31.5</v>
      </c>
      <c r="N96" s="5">
        <v>31.8</v>
      </c>
      <c r="O96" s="90"/>
      <c r="P96" s="5"/>
      <c r="Q96" s="5"/>
      <c r="R96" s="5"/>
      <c r="S96" s="5"/>
      <c r="T96" s="5"/>
      <c r="U96" s="5"/>
      <c r="V96" s="5"/>
      <c r="W96" s="5"/>
    </row>
    <row r="97" spans="9:23" x14ac:dyDescent="0.25">
      <c r="I97" s="92">
        <v>0.95833333333333337</v>
      </c>
      <c r="J97">
        <v>420</v>
      </c>
      <c r="K97">
        <v>1670</v>
      </c>
      <c r="M97" s="5">
        <v>33.6</v>
      </c>
      <c r="N97" s="5">
        <v>33</v>
      </c>
      <c r="O97" s="90"/>
      <c r="P97" s="5"/>
      <c r="Q97" s="5"/>
      <c r="R97" s="5"/>
      <c r="S97" s="5"/>
      <c r="T97" s="5"/>
      <c r="U97" s="5"/>
      <c r="V97" s="5"/>
      <c r="W97" s="5"/>
    </row>
    <row r="98" spans="9:23" x14ac:dyDescent="0.25">
      <c r="I98" s="91" t="s">
        <v>119</v>
      </c>
      <c r="J98">
        <v>285</v>
      </c>
      <c r="K98">
        <v>1010</v>
      </c>
      <c r="L98">
        <v>1040</v>
      </c>
      <c r="M98" s="5">
        <v>34.9</v>
      </c>
      <c r="N98" s="5">
        <v>33.6</v>
      </c>
      <c r="O98" s="90"/>
      <c r="P98" s="5"/>
      <c r="Q98" s="5"/>
      <c r="R98" s="5"/>
      <c r="S98" s="5"/>
      <c r="T98" s="5"/>
      <c r="U98" s="5"/>
      <c r="V98" s="5"/>
      <c r="W98" s="5"/>
    </row>
    <row r="99" spans="9:23" x14ac:dyDescent="0.25">
      <c r="I99" s="92">
        <v>0.54166666666666663</v>
      </c>
      <c r="J99" s="3">
        <f t="shared" ref="J99:J117" si="33">+J98+60</f>
        <v>345</v>
      </c>
      <c r="K99">
        <v>1025</v>
      </c>
      <c r="L99">
        <v>1050</v>
      </c>
      <c r="M99" s="5">
        <v>36.4</v>
      </c>
      <c r="N99" s="5">
        <v>34.299999999999997</v>
      </c>
      <c r="O99" s="90"/>
      <c r="P99" s="5"/>
      <c r="Q99" s="5"/>
      <c r="R99" s="5"/>
      <c r="S99" s="5"/>
      <c r="T99" s="5"/>
      <c r="U99" s="5"/>
      <c r="V99" s="5"/>
      <c r="W99" s="5"/>
    </row>
    <row r="100" spans="9:23" x14ac:dyDescent="0.25">
      <c r="I100" s="92">
        <v>0.58333333333333304</v>
      </c>
      <c r="J100" s="3">
        <f t="shared" si="33"/>
        <v>405</v>
      </c>
      <c r="K100">
        <v>1030</v>
      </c>
      <c r="M100" s="5">
        <v>34.6</v>
      </c>
      <c r="N100" s="5">
        <v>34.700000000000003</v>
      </c>
      <c r="O100" s="90"/>
      <c r="P100" s="5"/>
      <c r="Q100" s="5"/>
      <c r="R100" s="5"/>
      <c r="S100" s="5"/>
      <c r="T100" s="5"/>
      <c r="U100" s="5"/>
      <c r="V100" s="5"/>
      <c r="W100" s="5"/>
    </row>
    <row r="101" spans="9:23" x14ac:dyDescent="0.25">
      <c r="I101" s="92">
        <v>0.625</v>
      </c>
      <c r="J101" s="3">
        <f t="shared" si="33"/>
        <v>465</v>
      </c>
      <c r="K101">
        <v>1025</v>
      </c>
      <c r="M101" s="5">
        <v>33.200000000000003</v>
      </c>
      <c r="N101" s="5">
        <v>34.4</v>
      </c>
      <c r="O101" s="90"/>
      <c r="P101" s="5"/>
      <c r="Q101" s="5"/>
      <c r="R101" s="5"/>
      <c r="S101" s="5"/>
      <c r="T101" s="5"/>
      <c r="U101" s="5"/>
      <c r="V101" s="5"/>
      <c r="W101" s="5"/>
    </row>
    <row r="102" spans="9:23" x14ac:dyDescent="0.25">
      <c r="I102" s="92">
        <v>0.66666666666666696</v>
      </c>
      <c r="J102" s="3">
        <f t="shared" si="33"/>
        <v>525</v>
      </c>
      <c r="K102">
        <v>1030</v>
      </c>
      <c r="M102" s="5">
        <v>32.1</v>
      </c>
      <c r="N102" s="5">
        <v>33.700000000000003</v>
      </c>
      <c r="O102" s="90"/>
      <c r="P102" s="5"/>
      <c r="Q102" s="5"/>
      <c r="R102" s="5"/>
      <c r="S102" s="5"/>
      <c r="T102" s="5"/>
      <c r="U102" s="5"/>
      <c r="V102" s="5"/>
      <c r="W102" s="5"/>
    </row>
    <row r="103" spans="9:23" x14ac:dyDescent="0.25">
      <c r="I103" s="92">
        <v>0.70833333333333304</v>
      </c>
      <c r="J103" s="3">
        <f t="shared" si="33"/>
        <v>585</v>
      </c>
      <c r="K103">
        <v>1030</v>
      </c>
      <c r="M103" s="5">
        <v>32.1</v>
      </c>
      <c r="N103" s="5">
        <v>33.5</v>
      </c>
      <c r="O103" s="90"/>
      <c r="P103" s="5"/>
      <c r="Q103" s="5"/>
      <c r="R103" s="5"/>
      <c r="S103" s="5"/>
      <c r="T103" s="5"/>
      <c r="U103" s="5"/>
      <c r="V103" s="5"/>
      <c r="W103" s="5"/>
    </row>
    <row r="104" spans="9:23" x14ac:dyDescent="0.25">
      <c r="I104" s="92">
        <v>0.75</v>
      </c>
      <c r="J104" s="3">
        <f t="shared" si="33"/>
        <v>645</v>
      </c>
      <c r="K104">
        <v>1030</v>
      </c>
      <c r="M104" s="5">
        <v>31.8</v>
      </c>
      <c r="N104" s="5">
        <v>32.5</v>
      </c>
      <c r="O104" s="90"/>
      <c r="P104" s="5"/>
      <c r="Q104" s="5"/>
      <c r="R104" s="5"/>
      <c r="S104" s="5"/>
      <c r="T104" s="5"/>
      <c r="U104" s="5"/>
      <c r="V104" s="5"/>
      <c r="W104" s="5"/>
    </row>
    <row r="105" spans="9:23" x14ac:dyDescent="0.25">
      <c r="I105" s="92">
        <v>0.79166666666666696</v>
      </c>
      <c r="J105" s="3">
        <f t="shared" si="33"/>
        <v>705</v>
      </c>
      <c r="K105">
        <v>1060</v>
      </c>
      <c r="M105" s="5">
        <v>30.8</v>
      </c>
      <c r="N105" s="5">
        <v>32.1</v>
      </c>
      <c r="O105" s="90"/>
      <c r="P105" s="5"/>
      <c r="Q105" s="5"/>
      <c r="R105" s="5"/>
      <c r="S105" s="5"/>
      <c r="T105" s="5"/>
      <c r="U105" s="5"/>
      <c r="V105" s="5"/>
      <c r="W105" s="5"/>
    </row>
    <row r="106" spans="9:23" x14ac:dyDescent="0.25">
      <c r="I106" s="92">
        <v>0.83333333333333304</v>
      </c>
      <c r="J106" s="3">
        <f t="shared" si="33"/>
        <v>765</v>
      </c>
      <c r="K106">
        <v>1020</v>
      </c>
      <c r="M106" s="5">
        <v>30.4</v>
      </c>
      <c r="N106" s="5">
        <v>31.2</v>
      </c>
      <c r="O106" s="90"/>
      <c r="P106" s="5"/>
      <c r="Q106" s="5"/>
      <c r="R106" s="5"/>
      <c r="S106" s="5"/>
      <c r="T106" s="5"/>
      <c r="U106" s="5"/>
      <c r="V106" s="5"/>
      <c r="W106" s="5"/>
    </row>
    <row r="107" spans="9:23" x14ac:dyDescent="0.25">
      <c r="I107" s="92">
        <v>0.875</v>
      </c>
      <c r="J107" s="3">
        <f t="shared" si="33"/>
        <v>825</v>
      </c>
      <c r="K107">
        <v>860</v>
      </c>
      <c r="L107">
        <v>1050</v>
      </c>
      <c r="M107" s="5">
        <v>30.9</v>
      </c>
      <c r="N107" s="5">
        <v>31.4</v>
      </c>
      <c r="O107" s="90"/>
      <c r="P107" s="5"/>
      <c r="Q107" s="5"/>
      <c r="R107" s="5"/>
      <c r="S107" s="5"/>
      <c r="T107" s="5"/>
      <c r="U107" s="5"/>
      <c r="V107" s="5"/>
      <c r="W107" s="5"/>
    </row>
    <row r="108" spans="9:23" x14ac:dyDescent="0.25">
      <c r="I108" s="92">
        <v>0.91666666666666696</v>
      </c>
      <c r="J108" s="3">
        <f t="shared" si="33"/>
        <v>885</v>
      </c>
      <c r="K108">
        <v>850</v>
      </c>
      <c r="M108" s="5">
        <v>30.3</v>
      </c>
      <c r="N108" s="5">
        <v>30.9</v>
      </c>
      <c r="O108" s="90"/>
      <c r="P108" s="5"/>
      <c r="Q108" s="5"/>
      <c r="R108" s="5"/>
      <c r="S108" s="5"/>
      <c r="T108" s="5"/>
      <c r="U108" s="5"/>
      <c r="V108" s="5"/>
      <c r="W108" s="5"/>
    </row>
    <row r="109" spans="9:23" x14ac:dyDescent="0.25">
      <c r="I109" s="92">
        <v>0.95833333333333304</v>
      </c>
      <c r="J109" s="3">
        <f t="shared" si="33"/>
        <v>945</v>
      </c>
      <c r="K109">
        <v>900</v>
      </c>
      <c r="L109">
        <v>1050</v>
      </c>
      <c r="M109" s="5">
        <v>29.6</v>
      </c>
      <c r="N109" s="5">
        <v>30.2</v>
      </c>
      <c r="O109" s="90"/>
      <c r="P109" s="5"/>
      <c r="Q109" s="5"/>
      <c r="R109" s="5"/>
      <c r="S109" s="5"/>
      <c r="T109" s="5"/>
      <c r="U109" s="5"/>
      <c r="V109" s="5"/>
      <c r="W109" s="5"/>
    </row>
    <row r="110" spans="9:23" x14ac:dyDescent="0.25">
      <c r="I110" s="92">
        <v>1</v>
      </c>
      <c r="J110" s="3">
        <f t="shared" si="33"/>
        <v>1005</v>
      </c>
      <c r="K110">
        <v>820</v>
      </c>
      <c r="M110" s="5">
        <v>29.8</v>
      </c>
      <c r="N110" s="5">
        <v>30.3</v>
      </c>
      <c r="O110" s="90"/>
      <c r="P110" s="5"/>
      <c r="Q110" s="5"/>
      <c r="R110" s="5"/>
      <c r="S110" s="5"/>
      <c r="T110" s="5"/>
      <c r="U110" s="5"/>
      <c r="V110" s="5"/>
      <c r="W110" s="5"/>
    </row>
    <row r="111" spans="9:23" x14ac:dyDescent="0.25">
      <c r="I111" s="92">
        <v>4.1666666666666664E-2</v>
      </c>
      <c r="J111" s="3">
        <f t="shared" si="33"/>
        <v>1065</v>
      </c>
      <c r="K111">
        <v>1060</v>
      </c>
      <c r="L111">
        <v>1050</v>
      </c>
      <c r="M111" s="5">
        <v>29</v>
      </c>
      <c r="N111" s="5">
        <v>30</v>
      </c>
      <c r="O111" s="90"/>
      <c r="P111" s="5"/>
      <c r="Q111" s="5"/>
      <c r="R111" s="5"/>
      <c r="S111" s="5"/>
      <c r="T111" s="5"/>
      <c r="U111" s="5"/>
      <c r="V111" s="5"/>
      <c r="W111" s="5"/>
    </row>
    <row r="112" spans="9:23" x14ac:dyDescent="0.25">
      <c r="I112" s="92">
        <v>8.3333333333333301E-2</v>
      </c>
      <c r="J112" s="3">
        <f t="shared" si="33"/>
        <v>1125</v>
      </c>
      <c r="K112">
        <v>1180</v>
      </c>
      <c r="M112" s="5">
        <v>26.6</v>
      </c>
      <c r="N112" s="5">
        <v>29.6</v>
      </c>
      <c r="O112" s="90"/>
      <c r="P112" s="5"/>
      <c r="Q112" s="5"/>
      <c r="R112" s="5"/>
      <c r="S112" s="5"/>
      <c r="T112" s="5"/>
      <c r="U112" s="5"/>
      <c r="V112" s="5"/>
      <c r="W112" s="5"/>
    </row>
    <row r="113" spans="9:23" x14ac:dyDescent="0.25">
      <c r="I113" s="92">
        <v>0.125</v>
      </c>
      <c r="J113" s="3">
        <f t="shared" si="33"/>
        <v>1185</v>
      </c>
      <c r="K113">
        <v>1000</v>
      </c>
      <c r="M113" s="5">
        <v>27.3</v>
      </c>
      <c r="N113" s="5">
        <v>29</v>
      </c>
      <c r="O113" s="90"/>
      <c r="P113" s="5"/>
      <c r="Q113" s="5"/>
      <c r="R113" s="5"/>
      <c r="S113" s="5"/>
      <c r="T113" s="5"/>
      <c r="U113" s="5"/>
      <c r="V113" s="5"/>
      <c r="W113" s="5"/>
    </row>
    <row r="114" spans="9:23" x14ac:dyDescent="0.25">
      <c r="I114" s="92">
        <v>0.16666666666666699</v>
      </c>
      <c r="J114" s="3">
        <f t="shared" si="33"/>
        <v>1245</v>
      </c>
      <c r="K114">
        <v>1180</v>
      </c>
      <c r="M114" s="5">
        <v>27.2</v>
      </c>
      <c r="N114" s="5">
        <v>29.3</v>
      </c>
      <c r="O114" s="90"/>
      <c r="P114" s="5"/>
      <c r="Q114" s="5"/>
      <c r="R114" s="5"/>
      <c r="S114" s="5"/>
      <c r="T114" s="5"/>
      <c r="U114" s="5"/>
      <c r="V114" s="5"/>
      <c r="W114" s="5"/>
    </row>
    <row r="115" spans="9:23" x14ac:dyDescent="0.25">
      <c r="I115" s="92">
        <v>0.20833333333333301</v>
      </c>
      <c r="J115" s="3">
        <f t="shared" si="33"/>
        <v>1305</v>
      </c>
      <c r="K115">
        <v>970</v>
      </c>
      <c r="M115" s="5">
        <v>27</v>
      </c>
      <c r="N115" s="5">
        <v>29.1</v>
      </c>
      <c r="O115" s="90"/>
      <c r="P115" s="5"/>
      <c r="Q115" s="5"/>
      <c r="R115" s="5"/>
      <c r="S115" s="5"/>
      <c r="T115" s="5"/>
      <c r="U115" s="5"/>
      <c r="V115" s="5"/>
      <c r="W115" s="5"/>
    </row>
    <row r="116" spans="9:23" x14ac:dyDescent="0.25">
      <c r="I116" s="92">
        <v>0.25</v>
      </c>
      <c r="J116" s="3">
        <f t="shared" si="33"/>
        <v>1365</v>
      </c>
      <c r="K116">
        <v>1180</v>
      </c>
      <c r="L116">
        <v>1040</v>
      </c>
      <c r="M116" s="5">
        <v>27.4</v>
      </c>
      <c r="N116" s="5">
        <v>29</v>
      </c>
      <c r="O116" s="90"/>
      <c r="P116" s="5"/>
      <c r="Q116" s="5"/>
      <c r="R116" s="5"/>
      <c r="S116" s="5"/>
      <c r="T116" s="5"/>
      <c r="U116" s="5"/>
      <c r="V116" s="5"/>
      <c r="W116" s="5"/>
    </row>
    <row r="117" spans="9:23" x14ac:dyDescent="0.25">
      <c r="I117" s="92">
        <v>0.29166666666666702</v>
      </c>
      <c r="J117" s="3">
        <f t="shared" si="33"/>
        <v>1425</v>
      </c>
      <c r="K117">
        <v>1120</v>
      </c>
      <c r="M117" s="5">
        <v>301</v>
      </c>
      <c r="N117" s="5">
        <v>29.9</v>
      </c>
      <c r="O117" s="90"/>
      <c r="P117" s="5"/>
      <c r="Q117" s="5"/>
      <c r="R117" s="5"/>
      <c r="S117" s="5"/>
      <c r="T117" s="5"/>
      <c r="U117" s="5"/>
      <c r="V117" s="5"/>
      <c r="W117" s="5"/>
    </row>
    <row r="118" spans="9:23" x14ac:dyDescent="0.25">
      <c r="I118" s="92"/>
    </row>
    <row r="119" spans="9:23" x14ac:dyDescent="0.25">
      <c r="J119" s="3" t="s">
        <v>92</v>
      </c>
      <c r="K119" s="4">
        <f>SUM(K95:K118)/23</f>
        <v>1077.391304347826</v>
      </c>
      <c r="L119" s="5">
        <f>SUM(L95:L118)/8</f>
        <v>1047.5</v>
      </c>
    </row>
    <row r="121" spans="9:23" x14ac:dyDescent="0.25">
      <c r="J121" s="3" t="s">
        <v>93</v>
      </c>
      <c r="L121" s="5">
        <f>+L119</f>
        <v>1047.5</v>
      </c>
    </row>
    <row r="122" spans="9:23" x14ac:dyDescent="0.25">
      <c r="J122" s="93" t="s">
        <v>94</v>
      </c>
      <c r="K122" s="93"/>
      <c r="L122" s="95">
        <f>+(I2*1000/L119)/60</f>
        <v>8.2071255369928409</v>
      </c>
      <c r="M122" t="s">
        <v>95</v>
      </c>
    </row>
  </sheetData>
  <mergeCells count="2">
    <mergeCell ref="N8:O8"/>
    <mergeCell ref="R8:S8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126"/>
  <sheetViews>
    <sheetView workbookViewId="0">
      <selection activeCell="D38" sqref="D38"/>
    </sheetView>
  </sheetViews>
  <sheetFormatPr baseColWidth="10" defaultRowHeight="15" x14ac:dyDescent="0.25"/>
  <cols>
    <col min="19" max="19" width="9.5703125" customWidth="1"/>
    <col min="20" max="22" width="8.140625" customWidth="1"/>
    <col min="23" max="23" width="15.140625" customWidth="1"/>
    <col min="24" max="24" width="12.7109375" customWidth="1"/>
    <col min="25" max="25" width="9.85546875" customWidth="1"/>
    <col min="28" max="28" width="12.28515625" bestFit="1" customWidth="1"/>
  </cols>
  <sheetData>
    <row r="2" spans="1:28" x14ac:dyDescent="0.25">
      <c r="A2" t="s">
        <v>20</v>
      </c>
      <c r="F2" t="s">
        <v>97</v>
      </c>
      <c r="L2" s="5">
        <f>(1.184*0.884*0.3)*1000-14.8</f>
        <v>299.1968</v>
      </c>
      <c r="M2" s="5"/>
    </row>
    <row r="3" spans="1:28" x14ac:dyDescent="0.25">
      <c r="A3" t="s">
        <v>120</v>
      </c>
      <c r="F3" s="3" t="s">
        <v>98</v>
      </c>
      <c r="I3" s="5">
        <f>(1.184*0.884*0.515)*1000-30.91</f>
        <v>508.11784000000006</v>
      </c>
    </row>
    <row r="4" spans="1:28" x14ac:dyDescent="0.25">
      <c r="A4" s="13" t="s">
        <v>23</v>
      </c>
      <c r="F4" t="s">
        <v>24</v>
      </c>
    </row>
    <row r="5" spans="1:28" x14ac:dyDescent="0.25">
      <c r="A5" t="s">
        <v>109</v>
      </c>
      <c r="F5" t="s">
        <v>26</v>
      </c>
    </row>
    <row r="6" spans="1:28" x14ac:dyDescent="0.25">
      <c r="A6" s="3" t="s">
        <v>121</v>
      </c>
      <c r="F6" s="3" t="s">
        <v>99</v>
      </c>
      <c r="J6" s="15">
        <f>+(250*5000)/(L2*1000)</f>
        <v>4.1778521695419206</v>
      </c>
    </row>
    <row r="7" spans="1:28" x14ac:dyDescent="0.25">
      <c r="A7" s="3" t="s">
        <v>122</v>
      </c>
      <c r="B7" s="15">
        <f>+L2*1000/(J7*60)</f>
        <v>4.7604900556881464</v>
      </c>
      <c r="F7" t="s">
        <v>123</v>
      </c>
      <c r="J7" s="9">
        <f>+'[1]TRH 8hE'!J6</f>
        <v>1047.5</v>
      </c>
    </row>
    <row r="8" spans="1:28" x14ac:dyDescent="0.25">
      <c r="F8" s="130"/>
    </row>
    <row r="9" spans="1:28" x14ac:dyDescent="0.25">
      <c r="A9" s="21" t="s">
        <v>32</v>
      </c>
      <c r="B9" s="22"/>
      <c r="C9" s="22"/>
      <c r="D9" s="22"/>
      <c r="E9" s="22"/>
      <c r="F9" s="22"/>
      <c r="G9" s="23" t="s">
        <v>33</v>
      </c>
      <c r="H9" s="24" t="s">
        <v>34</v>
      </c>
      <c r="I9" s="22"/>
      <c r="J9" s="22"/>
      <c r="K9" s="24" t="s">
        <v>34</v>
      </c>
      <c r="L9" s="165" t="s">
        <v>35</v>
      </c>
      <c r="M9" s="166"/>
      <c r="N9" s="167" t="s">
        <v>101</v>
      </c>
      <c r="O9" s="168"/>
      <c r="P9" s="27" t="s">
        <v>37</v>
      </c>
      <c r="Q9" s="28" t="s">
        <v>38</v>
      </c>
      <c r="R9" s="28"/>
      <c r="S9" s="22" t="s">
        <v>39</v>
      </c>
      <c r="T9" s="28" t="s">
        <v>40</v>
      </c>
      <c r="U9" s="28" t="s">
        <v>41</v>
      </c>
      <c r="V9" s="28"/>
      <c r="W9" s="28"/>
      <c r="X9" s="30"/>
    </row>
    <row r="10" spans="1:28" x14ac:dyDescent="0.25">
      <c r="A10" s="31"/>
      <c r="B10" s="32" t="s">
        <v>42</v>
      </c>
      <c r="C10" s="32" t="s">
        <v>43</v>
      </c>
      <c r="D10" s="32" t="s">
        <v>44</v>
      </c>
      <c r="E10" s="32" t="s">
        <v>45</v>
      </c>
      <c r="F10" s="32" t="s">
        <v>124</v>
      </c>
      <c r="G10" s="32" t="s">
        <v>47</v>
      </c>
      <c r="H10" s="32" t="s">
        <v>48</v>
      </c>
      <c r="I10" s="32" t="s">
        <v>49</v>
      </c>
      <c r="J10" s="32" t="s">
        <v>50</v>
      </c>
      <c r="K10" s="32" t="s">
        <v>51</v>
      </c>
      <c r="L10" s="28" t="s">
        <v>52</v>
      </c>
      <c r="M10" s="34" t="s">
        <v>53</v>
      </c>
      <c r="N10" s="28" t="s">
        <v>54</v>
      </c>
      <c r="O10" s="35" t="s">
        <v>104</v>
      </c>
      <c r="P10" s="27" t="s">
        <v>105</v>
      </c>
      <c r="Q10" s="28" t="s">
        <v>57</v>
      </c>
      <c r="R10" s="33" t="s">
        <v>115</v>
      </c>
      <c r="S10" s="32"/>
      <c r="T10" s="32"/>
      <c r="U10" s="32"/>
      <c r="V10" s="32" t="s">
        <v>58</v>
      </c>
      <c r="W10" s="32" t="s">
        <v>59</v>
      </c>
      <c r="AA10" t="s">
        <v>60</v>
      </c>
    </row>
    <row r="11" spans="1:28" x14ac:dyDescent="0.25">
      <c r="A11" s="36"/>
      <c r="B11" s="37"/>
      <c r="C11" s="37"/>
      <c r="D11" s="37"/>
      <c r="E11" s="37"/>
      <c r="F11" s="37"/>
      <c r="G11" s="37" t="s">
        <v>64</v>
      </c>
      <c r="H11" s="37" t="s">
        <v>65</v>
      </c>
      <c r="I11" s="37" t="s">
        <v>66</v>
      </c>
      <c r="J11" s="37" t="s">
        <v>67</v>
      </c>
      <c r="K11" s="37" t="s">
        <v>65</v>
      </c>
      <c r="L11" s="38" t="s">
        <v>68</v>
      </c>
      <c r="M11" s="131" t="s">
        <v>61</v>
      </c>
      <c r="N11" s="38"/>
      <c r="O11" s="39"/>
      <c r="P11" s="40"/>
      <c r="Q11" s="38"/>
      <c r="R11" s="38"/>
      <c r="S11" s="98"/>
      <c r="T11" s="98"/>
      <c r="U11" s="98"/>
      <c r="V11" s="98"/>
      <c r="W11" s="98"/>
      <c r="X11" s="3"/>
      <c r="AA11" s="20" t="s">
        <v>69</v>
      </c>
    </row>
    <row r="12" spans="1:28" x14ac:dyDescent="0.25">
      <c r="A12" s="41">
        <v>0</v>
      </c>
      <c r="B12" s="42">
        <v>39601</v>
      </c>
      <c r="C12" s="43">
        <v>0.30208333333333331</v>
      </c>
      <c r="D12" s="44">
        <v>0</v>
      </c>
      <c r="E12" s="41">
        <v>0</v>
      </c>
      <c r="F12" s="45">
        <f>+'[1]Con 8hP4'!E32</f>
        <v>0</v>
      </c>
      <c r="G12" s="46">
        <f>+F12*E12</f>
        <v>0</v>
      </c>
      <c r="H12" s="47">
        <f>+F12/G85</f>
        <v>0</v>
      </c>
      <c r="I12" s="48">
        <f>+G12/G85</f>
        <v>0</v>
      </c>
      <c r="J12" s="49">
        <f t="shared" ref="J12:J75" si="0">+D12*I12</f>
        <v>0</v>
      </c>
      <c r="K12" s="45">
        <f>+H12*1000</f>
        <v>0</v>
      </c>
      <c r="L12" s="51">
        <f>+D12/(4.76*60)</f>
        <v>0</v>
      </c>
      <c r="M12" s="132">
        <f>+F12/4.178</f>
        <v>0</v>
      </c>
      <c r="N12" s="51">
        <f>+(1/(2*SQRT(3.1416*0.3285))*EXP(-((1-L12)^2/(4*0.3285))))</f>
        <v>0.22993949272398209</v>
      </c>
      <c r="O12" s="52">
        <f>+(1/(2*SQRT(3.1416*0.7061))*EXP(-((1-L12)^2/(4*0.7061))))</f>
        <v>0.23561136557007631</v>
      </c>
      <c r="P12" s="51" t="e">
        <f>+(1/(2*SQRT(3.1416*L12*0.1876))*EXP(-((1-L12)^2/(4*L12*0.1876))))</f>
        <v>#DIV/0!</v>
      </c>
      <c r="Q12" s="51">
        <f>+(1.522*(1.522*L12)^(1.522-1)/FACT(1.522-1))*EXP(-1.522*L12)</f>
        <v>0</v>
      </c>
      <c r="R12" s="51">
        <f>+(Q12-M12)^2</f>
        <v>0</v>
      </c>
      <c r="S12" s="57">
        <f>1048/1000*F12*E12</f>
        <v>0</v>
      </c>
      <c r="T12" s="50">
        <f>+S12/(5000*0.25)*100</f>
        <v>0</v>
      </c>
      <c r="U12" s="50">
        <f>+T12</f>
        <v>0</v>
      </c>
      <c r="V12" s="101">
        <f>+G12</f>
        <v>0</v>
      </c>
      <c r="W12" s="50">
        <f>+V12/1233.55*100</f>
        <v>0</v>
      </c>
      <c r="X12" s="19"/>
      <c r="AA12" s="54">
        <f>1-W12/100</f>
        <v>1</v>
      </c>
      <c r="AB12" s="15"/>
    </row>
    <row r="13" spans="1:28" x14ac:dyDescent="0.25">
      <c r="A13" s="41">
        <v>1</v>
      </c>
      <c r="B13" s="42">
        <v>39601</v>
      </c>
      <c r="C13" s="43"/>
      <c r="D13" s="55">
        <v>5</v>
      </c>
      <c r="E13" s="56">
        <f>+D13-D12</f>
        <v>5</v>
      </c>
      <c r="F13" s="45">
        <f>+'[1]Con 8hP4'!E33</f>
        <v>0</v>
      </c>
      <c r="G13" s="47">
        <f t="shared" ref="G13:G76" si="1">+F13*E13</f>
        <v>0</v>
      </c>
      <c r="H13" s="47">
        <f>+F13/G85</f>
        <v>0</v>
      </c>
      <c r="I13" s="48">
        <f>+G13/G85</f>
        <v>0</v>
      </c>
      <c r="J13" s="49">
        <f t="shared" si="0"/>
        <v>0</v>
      </c>
      <c r="K13" s="45">
        <f>+H13*1000</f>
        <v>0</v>
      </c>
      <c r="L13" s="51">
        <f t="shared" ref="L13:L76" si="2">+D13/(4.76*60)</f>
        <v>1.7507002801120452E-2</v>
      </c>
      <c r="M13" s="132">
        <f t="shared" ref="M13:M76" si="3">+F13/4.178</f>
        <v>0</v>
      </c>
      <c r="N13" s="51">
        <f t="shared" ref="N13:N76" si="4">+(1/(2*SQRT(3.1416*0.3285))*EXP(-((1-L13)^2/(4*0.3285))))</f>
        <v>0.23609395251564258</v>
      </c>
      <c r="O13" s="52">
        <f t="shared" ref="O13:O76" si="5">+(1/(2*SQRT(3.1416*0.7061))*EXP(-((1-L13)^2/(4*0.7061))))</f>
        <v>0.23852452754962455</v>
      </c>
      <c r="P13" s="51">
        <f t="shared" ref="P13:P76" si="6">+(1/(2*SQRT(3.1416*L13*0.1876))*EXP(-((1-L13)^2/(4*L13*0.1876))))</f>
        <v>6.043724453004786E-32</v>
      </c>
      <c r="Q13" s="50">
        <f t="shared" ref="Q13:Q76" si="7">+(1.522*(1.522*L13)^(1.522-1)/FACT(1.522-1))*EXP(-1.522*L13)</f>
        <v>0.22336730220434281</v>
      </c>
      <c r="R13" s="51">
        <f>+(Q13-M13)^2</f>
        <v>4.9892951694046207E-2</v>
      </c>
      <c r="S13" s="57">
        <f t="shared" ref="S13:S76" si="8">1048/1000*F13*E13</f>
        <v>0</v>
      </c>
      <c r="T13" s="50">
        <f t="shared" ref="T13:T76" si="9">+S13/(5000*0.25)*100</f>
        <v>0</v>
      </c>
      <c r="U13" s="50">
        <f t="shared" ref="U13:U76" si="10">+T13</f>
        <v>0</v>
      </c>
      <c r="V13" s="101">
        <f t="shared" ref="V13:V76" si="11">+V12+G13</f>
        <v>0</v>
      </c>
      <c r="W13" s="50">
        <f t="shared" ref="W13:W76" si="12">+V13/1233.55*100</f>
        <v>0</v>
      </c>
      <c r="X13" s="19"/>
      <c r="AA13" s="54">
        <f t="shared" ref="AA13:AA76" si="13">1-W13/100</f>
        <v>1</v>
      </c>
      <c r="AB13" s="15"/>
    </row>
    <row r="14" spans="1:28" x14ac:dyDescent="0.25">
      <c r="A14" s="41">
        <v>2</v>
      </c>
      <c r="B14" s="42">
        <v>39601</v>
      </c>
      <c r="C14" s="43"/>
      <c r="D14" s="55">
        <v>10</v>
      </c>
      <c r="E14" s="56">
        <f t="shared" ref="E14:E77" si="14">+D14-D13</f>
        <v>5</v>
      </c>
      <c r="F14" s="58">
        <f>+'[1]Con 8hP4'!E34</f>
        <v>9.8745614035087734E-2</v>
      </c>
      <c r="G14" s="57">
        <f t="shared" si="1"/>
        <v>0.49372807017543868</v>
      </c>
      <c r="H14" s="57">
        <f>+F14/G85</f>
        <v>8.0050122171192265E-5</v>
      </c>
      <c r="I14" s="102">
        <f>+G14/G85</f>
        <v>4.002506108559613E-4</v>
      </c>
      <c r="J14" s="50">
        <f t="shared" si="0"/>
        <v>4.002506108559613E-3</v>
      </c>
      <c r="K14" s="58">
        <f>+H14*1000</f>
        <v>8.005012217119227E-2</v>
      </c>
      <c r="L14" s="51">
        <f t="shared" si="2"/>
        <v>3.5014005602240904E-2</v>
      </c>
      <c r="M14" s="132">
        <f t="shared" si="3"/>
        <v>2.3634661090255561E-2</v>
      </c>
      <c r="N14" s="51">
        <f t="shared" si="4"/>
        <v>0.24230007881313956</v>
      </c>
      <c r="O14" s="52">
        <f t="shared" si="5"/>
        <v>0.24142130637115911</v>
      </c>
      <c r="P14" s="51">
        <f t="shared" si="6"/>
        <v>1.4118085568974917E-15</v>
      </c>
      <c r="Q14" s="50">
        <f t="shared" si="7"/>
        <v>0.3123094994589376</v>
      </c>
      <c r="R14" s="51">
        <f t="shared" ref="R14:R77" si="15">+(Q14-M14)^2</f>
        <v>8.3333162307184683E-2</v>
      </c>
      <c r="S14" s="57">
        <f t="shared" si="8"/>
        <v>0.51742701754385978</v>
      </c>
      <c r="T14" s="50">
        <f t="shared" si="9"/>
        <v>4.1394161403508781E-2</v>
      </c>
      <c r="U14" s="50">
        <f t="shared" si="10"/>
        <v>4.1394161403508781E-2</v>
      </c>
      <c r="V14" s="101">
        <f t="shared" si="11"/>
        <v>0.49372807017543868</v>
      </c>
      <c r="W14" s="50">
        <f t="shared" si="12"/>
        <v>4.0024974275500683E-2</v>
      </c>
      <c r="X14" s="66" t="s">
        <v>72</v>
      </c>
      <c r="AA14" s="54">
        <f t="shared" si="13"/>
        <v>0.99959975025724501</v>
      </c>
      <c r="AB14" s="15"/>
    </row>
    <row r="15" spans="1:28" x14ac:dyDescent="0.25">
      <c r="A15" s="41">
        <v>3</v>
      </c>
      <c r="B15" s="42">
        <v>39601</v>
      </c>
      <c r="C15" s="43"/>
      <c r="D15" s="55">
        <v>15</v>
      </c>
      <c r="E15" s="56">
        <f t="shared" si="14"/>
        <v>5</v>
      </c>
      <c r="F15" s="70">
        <f>+'[1]Con 8hP4'!E35</f>
        <v>0.91014912280701743</v>
      </c>
      <c r="G15" s="57">
        <f t="shared" si="1"/>
        <v>4.5507456140350868</v>
      </c>
      <c r="H15" s="57">
        <f>+F15/G85</f>
        <v>7.3783072986731749E-4</v>
      </c>
      <c r="I15" s="102">
        <f>+G15/G85</f>
        <v>3.6891536493365872E-3</v>
      </c>
      <c r="J15" s="50">
        <f t="shared" si="0"/>
        <v>5.5337304740048811E-2</v>
      </c>
      <c r="K15" s="58">
        <f t="shared" ref="K15:K78" si="16">+H15*1000</f>
        <v>0.73783072986731746</v>
      </c>
      <c r="L15" s="51">
        <f t="shared" si="2"/>
        <v>5.2521008403361352E-2</v>
      </c>
      <c r="M15" s="132">
        <f t="shared" si="3"/>
        <v>0.2178432558178596</v>
      </c>
      <c r="N15" s="51">
        <f t="shared" si="4"/>
        <v>0.24855336461670088</v>
      </c>
      <c r="O15" s="52">
        <f t="shared" si="5"/>
        <v>0.24430023817229746</v>
      </c>
      <c r="P15" s="51">
        <f t="shared" si="6"/>
        <v>3.6416994861441321E-10</v>
      </c>
      <c r="Q15" s="50">
        <f t="shared" si="7"/>
        <v>0.37577922738439562</v>
      </c>
      <c r="R15" s="51">
        <f t="shared" si="15"/>
        <v>2.4943771114665673E-2</v>
      </c>
      <c r="S15" s="57">
        <f t="shared" si="8"/>
        <v>4.7691814035087718</v>
      </c>
      <c r="T15" s="50">
        <f t="shared" si="9"/>
        <v>0.38153451228070173</v>
      </c>
      <c r="U15" s="50">
        <f t="shared" si="10"/>
        <v>0.38153451228070173</v>
      </c>
      <c r="V15" s="101">
        <f t="shared" si="11"/>
        <v>5.0444736842105256</v>
      </c>
      <c r="W15" s="50">
        <f t="shared" si="12"/>
        <v>0.40893953907101666</v>
      </c>
      <c r="X15" s="133">
        <f>+((([1]Resumen!O11-F14)*(D15-D14))/(F15-F14))+D14</f>
        <v>11.499659459459458</v>
      </c>
      <c r="Y15" s="69" t="s">
        <v>73</v>
      </c>
      <c r="AA15" s="54">
        <f t="shared" si="13"/>
        <v>0.99591060460928982</v>
      </c>
      <c r="AB15" s="15"/>
    </row>
    <row r="16" spans="1:28" x14ac:dyDescent="0.25">
      <c r="A16" s="41">
        <v>4</v>
      </c>
      <c r="B16" s="42">
        <v>39601</v>
      </c>
      <c r="C16" s="43"/>
      <c r="D16" s="63">
        <v>20</v>
      </c>
      <c r="E16" s="56">
        <f t="shared" si="14"/>
        <v>5</v>
      </c>
      <c r="F16" s="67">
        <f>+'[1]Con 8hP4'!E36</f>
        <v>1.5022543859649122</v>
      </c>
      <c r="G16" s="47">
        <f>+F16*E16</f>
        <v>7.5112719298245612</v>
      </c>
      <c r="H16" s="47">
        <f>+F16/G85</f>
        <v>1.2178327949428685E-3</v>
      </c>
      <c r="I16" s="48">
        <f>+G16/G85</f>
        <v>6.0891639747143421E-3</v>
      </c>
      <c r="J16" s="49">
        <f t="shared" si="0"/>
        <v>0.12178327949428684</v>
      </c>
      <c r="K16" s="45">
        <f t="shared" si="16"/>
        <v>1.2178327949428684</v>
      </c>
      <c r="L16" s="51">
        <f t="shared" si="2"/>
        <v>7.0028011204481808E-2</v>
      </c>
      <c r="M16" s="132">
        <f t="shared" si="3"/>
        <v>0.35956304115962479</v>
      </c>
      <c r="N16" s="51">
        <f t="shared" si="4"/>
        <v>0.25484911870681493</v>
      </c>
      <c r="O16" s="52">
        <f t="shared" si="5"/>
        <v>0.2471598531629281</v>
      </c>
      <c r="P16" s="51">
        <f t="shared" si="6"/>
        <v>1.7520867458404608E-7</v>
      </c>
      <c r="Q16" s="50">
        <f t="shared" si="7"/>
        <v>0.42518577594589679</v>
      </c>
      <c r="R16" s="51">
        <f t="shared" si="15"/>
        <v>4.3063433208293941E-3</v>
      </c>
      <c r="S16" s="57">
        <f t="shared" si="8"/>
        <v>7.8718129824561398</v>
      </c>
      <c r="T16" s="50">
        <f t="shared" si="9"/>
        <v>0.62974503859649111</v>
      </c>
      <c r="U16" s="50">
        <f t="shared" si="10"/>
        <v>0.62974503859649111</v>
      </c>
      <c r="V16" s="101">
        <f t="shared" si="11"/>
        <v>12.555745614035086</v>
      </c>
      <c r="W16" s="50">
        <f t="shared" si="12"/>
        <v>1.0178546158676247</v>
      </c>
      <c r="X16" s="105"/>
      <c r="Y16" s="105"/>
      <c r="Z16" s="66"/>
      <c r="AA16" s="54">
        <f t="shared" si="13"/>
        <v>0.98982145384132381</v>
      </c>
      <c r="AB16" s="15"/>
    </row>
    <row r="17" spans="1:28" x14ac:dyDescent="0.25">
      <c r="A17" s="41">
        <v>5</v>
      </c>
      <c r="B17" s="42">
        <v>39601</v>
      </c>
      <c r="C17" s="43"/>
      <c r="D17" s="55">
        <v>25</v>
      </c>
      <c r="E17" s="56">
        <f t="shared" si="14"/>
        <v>5</v>
      </c>
      <c r="F17" s="72">
        <f>+'[1]Con 8hP4'!E37</f>
        <v>2.4452368421052633</v>
      </c>
      <c r="G17" s="47">
        <f t="shared" si="1"/>
        <v>12.226184210526316</v>
      </c>
      <c r="H17" s="47">
        <f>+F17/G85</f>
        <v>1.9822805282113387E-3</v>
      </c>
      <c r="I17" s="48">
        <f>+G17/G85</f>
        <v>9.9114026410566936E-3</v>
      </c>
      <c r="J17" s="49">
        <f t="shared" si="0"/>
        <v>0.24778506602641734</v>
      </c>
      <c r="K17" s="45">
        <f t="shared" si="16"/>
        <v>1.9822805282113387</v>
      </c>
      <c r="L17" s="51">
        <f t="shared" si="2"/>
        <v>8.7535014005602249E-2</v>
      </c>
      <c r="M17" s="132">
        <f t="shared" si="3"/>
        <v>0.58526492151873222</v>
      </c>
      <c r="N17" s="51">
        <f t="shared" si="4"/>
        <v>0.26118246975394283</v>
      </c>
      <c r="O17" s="52">
        <f t="shared" si="5"/>
        <v>0.24999867683788846</v>
      </c>
      <c r="P17" s="51">
        <f t="shared" si="6"/>
        <v>6.8846242583697797E-6</v>
      </c>
      <c r="Q17" s="50">
        <f t="shared" si="7"/>
        <v>0.46515071381796991</v>
      </c>
      <c r="R17" s="51">
        <f t="shared" si="15"/>
        <v>1.4427422891581868E-2</v>
      </c>
      <c r="S17" s="57">
        <f t="shared" si="8"/>
        <v>12.813041052631579</v>
      </c>
      <c r="T17" s="50">
        <f t="shared" si="9"/>
        <v>1.0250432842105262</v>
      </c>
      <c r="U17" s="50">
        <f t="shared" si="10"/>
        <v>1.0250432842105262</v>
      </c>
      <c r="V17" s="101">
        <f t="shared" si="11"/>
        <v>24.781929824561402</v>
      </c>
      <c r="W17" s="50">
        <f t="shared" si="12"/>
        <v>2.0089927302956023</v>
      </c>
      <c r="X17" s="73">
        <f>+((([1]Resumen!N11-F16)*(D17-D16))/(F17-F16))+D16</f>
        <v>21.104488372093023</v>
      </c>
      <c r="Y17" s="74" t="s">
        <v>74</v>
      </c>
      <c r="Z17" s="106"/>
      <c r="AA17" s="54">
        <f t="shared" si="13"/>
        <v>0.979910072697044</v>
      </c>
      <c r="AB17" s="15"/>
    </row>
    <row r="18" spans="1:28" x14ac:dyDescent="0.25">
      <c r="A18" s="41">
        <v>6</v>
      </c>
      <c r="B18" s="42">
        <v>39601</v>
      </c>
      <c r="C18" s="43"/>
      <c r="D18" s="63">
        <v>30</v>
      </c>
      <c r="E18" s="56">
        <f t="shared" si="14"/>
        <v>5</v>
      </c>
      <c r="F18" s="72">
        <f>+'[1]Con 8hP4'!E38</f>
        <v>1.0964912280701782E-3</v>
      </c>
      <c r="G18" s="47">
        <f t="shared" si="1"/>
        <v>5.4824561403508908E-3</v>
      </c>
      <c r="H18" s="47">
        <f>+F18/G85</f>
        <v>8.8889271310287428E-7</v>
      </c>
      <c r="I18" s="48">
        <f>+G18/G85</f>
        <v>4.4444635655143712E-6</v>
      </c>
      <c r="J18" s="49">
        <f t="shared" si="0"/>
        <v>1.3333390696543114E-4</v>
      </c>
      <c r="K18" s="45">
        <f t="shared" si="16"/>
        <v>8.8889271310287424E-4</v>
      </c>
      <c r="L18" s="51">
        <f t="shared" si="2"/>
        <v>0.1050420168067227</v>
      </c>
      <c r="M18" s="132">
        <f t="shared" si="3"/>
        <v>2.6244404692919536E-4</v>
      </c>
      <c r="N18" s="51">
        <f t="shared" si="4"/>
        <v>0.26754837095856898</v>
      </c>
      <c r="O18" s="52">
        <f t="shared" si="5"/>
        <v>0.25281523120911442</v>
      </c>
      <c r="P18" s="51">
        <f t="shared" si="6"/>
        <v>7.7642346725293089E-5</v>
      </c>
      <c r="Q18" s="50">
        <f t="shared" si="7"/>
        <v>0.49814323850800779</v>
      </c>
      <c r="R18" s="51">
        <f t="shared" si="15"/>
        <v>0.24788528549319477</v>
      </c>
      <c r="S18" s="57">
        <f t="shared" si="8"/>
        <v>5.7456140350877344E-3</v>
      </c>
      <c r="T18" s="50">
        <f t="shared" si="9"/>
        <v>4.5964912280701875E-4</v>
      </c>
      <c r="U18" s="50">
        <f t="shared" si="10"/>
        <v>4.5964912280701875E-4</v>
      </c>
      <c r="V18" s="101">
        <f t="shared" si="11"/>
        <v>24.787412280701751</v>
      </c>
      <c r="W18" s="50">
        <f t="shared" si="12"/>
        <v>2.009437175688197</v>
      </c>
      <c r="X18" s="104"/>
      <c r="Y18" s="105"/>
      <c r="Z18" s="106"/>
      <c r="AA18" s="54">
        <f t="shared" si="13"/>
        <v>0.979905628243118</v>
      </c>
      <c r="AB18" s="15"/>
    </row>
    <row r="19" spans="1:28" x14ac:dyDescent="0.25">
      <c r="A19" s="41">
        <v>7</v>
      </c>
      <c r="B19" s="42">
        <v>39601</v>
      </c>
      <c r="C19" s="43"/>
      <c r="D19" s="55">
        <v>35</v>
      </c>
      <c r="E19" s="56">
        <f t="shared" si="14"/>
        <v>5</v>
      </c>
      <c r="F19" s="72">
        <f>+'[1]Con 8hP4'!E39</f>
        <v>2.7851491228070175</v>
      </c>
      <c r="G19" s="57">
        <f t="shared" si="1"/>
        <v>13.925745614035087</v>
      </c>
      <c r="H19" s="57">
        <f>+F19/G85</f>
        <v>2.2578372692732287E-3</v>
      </c>
      <c r="I19" s="102">
        <f>+G19/G85</f>
        <v>1.1289186346366144E-2</v>
      </c>
      <c r="J19" s="50">
        <f t="shared" si="0"/>
        <v>0.39512152212281504</v>
      </c>
      <c r="K19" s="58">
        <f t="shared" si="16"/>
        <v>2.2578372692732285</v>
      </c>
      <c r="L19" s="51">
        <f t="shared" si="2"/>
        <v>0.12254901960784315</v>
      </c>
      <c r="M19" s="132">
        <f t="shared" si="3"/>
        <v>0.66662257606678255</v>
      </c>
      <c r="N19" s="51">
        <f t="shared" si="4"/>
        <v>0.27394160522187416</v>
      </c>
      <c r="O19" s="52">
        <f t="shared" si="5"/>
        <v>0.25560803605587717</v>
      </c>
      <c r="P19" s="51">
        <f t="shared" si="6"/>
        <v>4.3012426434245915E-4</v>
      </c>
      <c r="Q19" s="50">
        <f t="shared" si="7"/>
        <v>0.52568840948104634</v>
      </c>
      <c r="R19" s="51">
        <f t="shared" si="15"/>
        <v>1.9862439311216045E-2</v>
      </c>
      <c r="S19" s="57">
        <f t="shared" si="8"/>
        <v>14.594181403508772</v>
      </c>
      <c r="T19" s="50">
        <f t="shared" si="9"/>
        <v>1.1675345122807017</v>
      </c>
      <c r="U19" s="50">
        <f t="shared" si="10"/>
        <v>1.1675345122807017</v>
      </c>
      <c r="V19" s="101">
        <f t="shared" si="11"/>
        <v>38.713157894736838</v>
      </c>
      <c r="W19" s="50">
        <f t="shared" si="12"/>
        <v>3.1383533618205046</v>
      </c>
      <c r="X19" s="104"/>
      <c r="Y19" s="105"/>
      <c r="Z19" s="106"/>
      <c r="AA19" s="54">
        <f t="shared" si="13"/>
        <v>0.96861646638179499</v>
      </c>
      <c r="AB19" s="15"/>
    </row>
    <row r="20" spans="1:28" x14ac:dyDescent="0.25">
      <c r="A20" s="41">
        <v>8</v>
      </c>
      <c r="B20" s="42">
        <v>39601</v>
      </c>
      <c r="C20" s="43"/>
      <c r="D20" s="63">
        <v>40</v>
      </c>
      <c r="E20" s="56">
        <f t="shared" si="14"/>
        <v>5</v>
      </c>
      <c r="F20" s="72">
        <f>+'[1]Con 8hP4'!E40</f>
        <v>2.7412894736842102</v>
      </c>
      <c r="G20" s="57">
        <f t="shared" si="1"/>
        <v>13.706447368421051</v>
      </c>
      <c r="H20" s="57">
        <f>+F20/G85</f>
        <v>2.2222815607491138E-3</v>
      </c>
      <c r="I20" s="102">
        <f>+G20/G85</f>
        <v>1.1111407803745569E-2</v>
      </c>
      <c r="J20" s="50">
        <f t="shared" si="0"/>
        <v>0.44445631214982273</v>
      </c>
      <c r="K20" s="58">
        <f t="shared" si="16"/>
        <v>2.222281560749114</v>
      </c>
      <c r="L20" s="51">
        <f t="shared" si="2"/>
        <v>0.14005602240896362</v>
      </c>
      <c r="M20" s="132">
        <f t="shared" si="3"/>
        <v>0.65612481418961466</v>
      </c>
      <c r="N20" s="51">
        <f t="shared" si="4"/>
        <v>0.28035679084557186</v>
      </c>
      <c r="O20" s="52">
        <f t="shared" si="5"/>
        <v>0.25837561019167737</v>
      </c>
      <c r="P20" s="51">
        <f t="shared" si="6"/>
        <v>1.5303523517914044E-3</v>
      </c>
      <c r="Q20" s="50">
        <f t="shared" si="7"/>
        <v>0.5488177331535028</v>
      </c>
      <c r="R20" s="51">
        <f t="shared" si="15"/>
        <v>1.1514809640490679E-2</v>
      </c>
      <c r="S20" s="57">
        <f t="shared" si="8"/>
        <v>14.364356842105261</v>
      </c>
      <c r="T20" s="50">
        <f t="shared" si="9"/>
        <v>1.1491485473684209</v>
      </c>
      <c r="U20" s="50">
        <f t="shared" si="10"/>
        <v>1.1491485473684209</v>
      </c>
      <c r="V20" s="101">
        <f t="shared" si="11"/>
        <v>52.419605263157891</v>
      </c>
      <c r="W20" s="50">
        <f t="shared" si="12"/>
        <v>4.2494917322490284</v>
      </c>
      <c r="X20" s="104"/>
      <c r="Y20" s="106"/>
      <c r="Z20" s="106"/>
      <c r="AA20" s="54">
        <f t="shared" si="13"/>
        <v>0.95750508267750967</v>
      </c>
      <c r="AB20" s="15"/>
    </row>
    <row r="21" spans="1:28" x14ac:dyDescent="0.25">
      <c r="A21" s="41">
        <v>9</v>
      </c>
      <c r="B21" s="42">
        <v>39601</v>
      </c>
      <c r="C21" s="43"/>
      <c r="D21" s="55">
        <v>45</v>
      </c>
      <c r="E21" s="56">
        <f t="shared" si="14"/>
        <v>5</v>
      </c>
      <c r="F21" s="72">
        <f>+'[1]Con 8hP4'!E41</f>
        <v>2.8619035087719298</v>
      </c>
      <c r="G21" s="47">
        <f t="shared" si="1"/>
        <v>14.309517543859648</v>
      </c>
      <c r="H21" s="47">
        <f>+F21/G85</f>
        <v>2.3200597591904299E-3</v>
      </c>
      <c r="I21" s="48">
        <f>+G21/G85</f>
        <v>1.1600298795952148E-2</v>
      </c>
      <c r="J21" s="49">
        <f t="shared" si="0"/>
        <v>0.5220134458178467</v>
      </c>
      <c r="K21" s="45">
        <f t="shared" si="16"/>
        <v>2.3200597591904297</v>
      </c>
      <c r="L21" s="51">
        <f t="shared" si="2"/>
        <v>0.15756302521008406</v>
      </c>
      <c r="M21" s="132">
        <f t="shared" si="3"/>
        <v>0.68499365935182621</v>
      </c>
      <c r="N21" s="51">
        <f t="shared" si="4"/>
        <v>0.28678838775766086</v>
      </c>
      <c r="O21" s="52">
        <f t="shared" si="5"/>
        <v>0.26111647274632588</v>
      </c>
      <c r="P21" s="51">
        <f t="shared" si="6"/>
        <v>4.0571882688904591E-3</v>
      </c>
      <c r="Q21" s="50">
        <f t="shared" si="7"/>
        <v>0.56827387387947648</v>
      </c>
      <c r="R21" s="51">
        <f t="shared" si="15"/>
        <v>1.3623508320711344E-2</v>
      </c>
      <c r="S21" s="57">
        <f t="shared" si="8"/>
        <v>14.996374385964913</v>
      </c>
      <c r="T21" s="50">
        <f t="shared" si="9"/>
        <v>1.1997099508771929</v>
      </c>
      <c r="U21" s="50">
        <f t="shared" si="10"/>
        <v>1.1997099508771929</v>
      </c>
      <c r="V21" s="101">
        <f t="shared" si="11"/>
        <v>66.729122807017546</v>
      </c>
      <c r="W21" s="50">
        <f t="shared" si="12"/>
        <v>5.4095190958629606</v>
      </c>
      <c r="X21" s="77"/>
      <c r="Y21" s="105"/>
      <c r="Z21" s="106"/>
      <c r="AA21" s="54">
        <f t="shared" si="13"/>
        <v>0.94590480904137042</v>
      </c>
      <c r="AB21" s="15"/>
    </row>
    <row r="22" spans="1:28" x14ac:dyDescent="0.25">
      <c r="A22" s="41">
        <v>10</v>
      </c>
      <c r="B22" s="42">
        <v>39601</v>
      </c>
      <c r="C22" s="43"/>
      <c r="D22" s="55">
        <v>50</v>
      </c>
      <c r="E22" s="56">
        <f t="shared" si="14"/>
        <v>5</v>
      </c>
      <c r="F22" s="72">
        <f>+'[1]Con 8hP4'!E42</f>
        <v>2.8728684210526314</v>
      </c>
      <c r="G22" s="47">
        <f t="shared" si="1"/>
        <v>14.364342105263157</v>
      </c>
      <c r="H22" s="47">
        <f>+F22/G85</f>
        <v>2.3289486863214584E-3</v>
      </c>
      <c r="I22" s="48">
        <f>+G22/G85</f>
        <v>1.1644743431607292E-2</v>
      </c>
      <c r="J22" s="49">
        <f t="shared" si="0"/>
        <v>0.58223717158036459</v>
      </c>
      <c r="K22" s="45">
        <f t="shared" si="16"/>
        <v>2.3289486863214584</v>
      </c>
      <c r="L22" s="51">
        <f t="shared" si="2"/>
        <v>0.1750700280112045</v>
      </c>
      <c r="M22" s="132">
        <f t="shared" si="3"/>
        <v>0.6876180998211181</v>
      </c>
      <c r="N22" s="51">
        <f t="shared" si="4"/>
        <v>0.29323070425903525</v>
      </c>
      <c r="O22" s="52">
        <f t="shared" si="5"/>
        <v>0.26382914446170019</v>
      </c>
      <c r="P22" s="51">
        <f t="shared" si="6"/>
        <v>8.7604813136705553E-3</v>
      </c>
      <c r="Q22" s="50">
        <f t="shared" si="7"/>
        <v>0.58461645851604116</v>
      </c>
      <c r="R22" s="51">
        <f t="shared" si="15"/>
        <v>1.0609338111539732E-2</v>
      </c>
      <c r="S22" s="57">
        <f t="shared" si="8"/>
        <v>15.053830526315791</v>
      </c>
      <c r="T22" s="50">
        <f t="shared" si="9"/>
        <v>1.2043064421052634</v>
      </c>
      <c r="U22" s="50">
        <f t="shared" si="10"/>
        <v>1.2043064421052634</v>
      </c>
      <c r="V22" s="101">
        <f t="shared" si="11"/>
        <v>81.093464912280709</v>
      </c>
      <c r="W22" s="50">
        <f t="shared" si="12"/>
        <v>6.573990913402838</v>
      </c>
      <c r="X22" s="77"/>
      <c r="Y22" s="105"/>
      <c r="Z22" s="106"/>
      <c r="AA22" s="54">
        <f t="shared" si="13"/>
        <v>0.93426009086597162</v>
      </c>
      <c r="AB22" s="15"/>
    </row>
    <row r="23" spans="1:28" x14ac:dyDescent="0.25">
      <c r="A23" s="41">
        <v>11</v>
      </c>
      <c r="B23" s="42">
        <v>39601</v>
      </c>
      <c r="C23" s="43"/>
      <c r="D23" s="63">
        <v>55</v>
      </c>
      <c r="E23" s="56">
        <f t="shared" si="14"/>
        <v>5</v>
      </c>
      <c r="F23" s="72">
        <f>+'[1]Con 8hP4'!E43</f>
        <v>2.9167280701754383</v>
      </c>
      <c r="G23" s="47">
        <f t="shared" si="1"/>
        <v>14.583640350877191</v>
      </c>
      <c r="H23" s="47">
        <f>+F23/G85</f>
        <v>2.3645043948455732E-3</v>
      </c>
      <c r="I23" s="48">
        <f>+G23/G85</f>
        <v>1.1822521974227866E-2</v>
      </c>
      <c r="J23" s="49">
        <f t="shared" si="0"/>
        <v>0.65023870858253263</v>
      </c>
      <c r="K23" s="45">
        <f t="shared" si="16"/>
        <v>2.3645043948455733</v>
      </c>
      <c r="L23" s="51">
        <f t="shared" si="2"/>
        <v>0.19257703081232494</v>
      </c>
      <c r="M23" s="132">
        <f t="shared" si="3"/>
        <v>0.69811586169828588</v>
      </c>
      <c r="N23" s="51">
        <f t="shared" si="4"/>
        <v>0.29967790428405089</v>
      </c>
      <c r="O23" s="52">
        <f t="shared" si="5"/>
        <v>0.26651214899962938</v>
      </c>
      <c r="P23" s="51">
        <f t="shared" si="6"/>
        <v>1.6301548495066105E-2</v>
      </c>
      <c r="Q23" s="50">
        <f t="shared" si="7"/>
        <v>0.59828202790338592</v>
      </c>
      <c r="R23" s="51">
        <f t="shared" si="15"/>
        <v>9.9667943701877097E-3</v>
      </c>
      <c r="S23" s="57">
        <f t="shared" si="8"/>
        <v>15.283655087719296</v>
      </c>
      <c r="T23" s="50">
        <f t="shared" si="9"/>
        <v>1.2226924070175438</v>
      </c>
      <c r="U23" s="50">
        <f t="shared" si="10"/>
        <v>1.2226924070175438</v>
      </c>
      <c r="V23" s="101">
        <f t="shared" si="11"/>
        <v>95.677105263157898</v>
      </c>
      <c r="W23" s="50">
        <f t="shared" si="12"/>
        <v>7.7562405466465005</v>
      </c>
      <c r="X23" s="77"/>
      <c r="Y23" s="105"/>
      <c r="Z23" s="106"/>
      <c r="AA23" s="54">
        <f t="shared" si="13"/>
        <v>0.92243759453353502</v>
      </c>
      <c r="AB23" s="15"/>
    </row>
    <row r="24" spans="1:28" x14ac:dyDescent="0.25">
      <c r="A24" s="41">
        <v>12</v>
      </c>
      <c r="B24" s="42">
        <v>39601</v>
      </c>
      <c r="C24" s="43"/>
      <c r="D24" s="55">
        <v>60</v>
      </c>
      <c r="E24" s="56">
        <f>+D24-D23</f>
        <v>5</v>
      </c>
      <c r="F24" s="72">
        <f>+'[1]Con 8hP4'!E44</f>
        <v>3.1031315789473677</v>
      </c>
      <c r="G24" s="47">
        <f t="shared" si="1"/>
        <v>15.515657894736838</v>
      </c>
      <c r="H24" s="47">
        <f>+F24/G85</f>
        <v>2.5156161560730612E-3</v>
      </c>
      <c r="I24" s="48">
        <f>+G24/G85</f>
        <v>1.2578080780365306E-2</v>
      </c>
      <c r="J24" s="49">
        <f t="shared" si="0"/>
        <v>0.75468484682191828</v>
      </c>
      <c r="K24" s="45">
        <f t="shared" si="16"/>
        <v>2.5156161560730612</v>
      </c>
      <c r="L24" s="51">
        <f t="shared" si="2"/>
        <v>0.21008403361344541</v>
      </c>
      <c r="M24" s="132">
        <f t="shared" si="3"/>
        <v>0.74273134967624888</v>
      </c>
      <c r="N24" s="51">
        <f t="shared" si="4"/>
        <v>0.30612401516629179</v>
      </c>
      <c r="O24" s="52">
        <f t="shared" si="5"/>
        <v>0.26916401426032333</v>
      </c>
      <c r="P24" s="51">
        <f t="shared" si="6"/>
        <v>2.7142108216909631E-2</v>
      </c>
      <c r="Q24" s="50">
        <f t="shared" si="7"/>
        <v>0.60962044479913102</v>
      </c>
      <c r="R24" s="51">
        <f t="shared" si="15"/>
        <v>1.7718512997205116E-2</v>
      </c>
      <c r="S24" s="57">
        <f t="shared" si="8"/>
        <v>16.260409473684206</v>
      </c>
      <c r="T24" s="50">
        <f t="shared" si="9"/>
        <v>1.3008327578947365</v>
      </c>
      <c r="U24" s="50">
        <f t="shared" si="10"/>
        <v>1.3008327578947365</v>
      </c>
      <c r="V24" s="101">
        <f t="shared" si="11"/>
        <v>111.19276315789473</v>
      </c>
      <c r="W24" s="50">
        <f t="shared" si="12"/>
        <v>9.0140458966312469</v>
      </c>
      <c r="X24" s="77"/>
      <c r="Y24" s="105"/>
      <c r="Z24" s="106"/>
      <c r="AA24" s="54">
        <f t="shared" si="13"/>
        <v>0.90985954103368749</v>
      </c>
      <c r="AB24" s="15"/>
    </row>
    <row r="25" spans="1:28" x14ac:dyDescent="0.25">
      <c r="A25" s="41">
        <v>13</v>
      </c>
      <c r="B25" s="42">
        <v>39601</v>
      </c>
      <c r="C25" s="43"/>
      <c r="D25" s="134">
        <v>70</v>
      </c>
      <c r="E25" s="56">
        <f t="shared" si="14"/>
        <v>10</v>
      </c>
      <c r="F25" s="78">
        <f>+'[1]Con 8hP4'!E45</f>
        <v>3.4211140350877192</v>
      </c>
      <c r="G25" s="57">
        <f t="shared" si="1"/>
        <v>34.211140350877194</v>
      </c>
      <c r="H25" s="57">
        <f>+F25/G85</f>
        <v>2.7733950428728946E-3</v>
      </c>
      <c r="I25" s="102">
        <f>+G25/G85</f>
        <v>2.7733950428728948E-2</v>
      </c>
      <c r="J25" s="50">
        <f t="shared" si="0"/>
        <v>1.9413765300110264</v>
      </c>
      <c r="K25" s="58">
        <f t="shared" si="16"/>
        <v>2.7733950428728944</v>
      </c>
      <c r="L25" s="51">
        <f t="shared" si="2"/>
        <v>0.24509803921568629</v>
      </c>
      <c r="M25" s="132">
        <f t="shared" si="3"/>
        <v>0.81884012328571543</v>
      </c>
      <c r="N25" s="51">
        <f t="shared" si="4"/>
        <v>0.31898844587707581</v>
      </c>
      <c r="O25" s="52">
        <f t="shared" si="5"/>
        <v>0.27436846771418161</v>
      </c>
      <c r="P25" s="51">
        <f t="shared" si="6"/>
        <v>5.9354854042664613E-2</v>
      </c>
      <c r="Q25" s="50">
        <f t="shared" si="7"/>
        <v>0.6264142416997609</v>
      </c>
      <c r="R25" s="51">
        <f t="shared" si="15"/>
        <v>3.7027719904131791E-2</v>
      </c>
      <c r="S25" s="57">
        <f t="shared" si="8"/>
        <v>35.853275087719297</v>
      </c>
      <c r="T25" s="50">
        <f t="shared" si="9"/>
        <v>2.8682620070175435</v>
      </c>
      <c r="U25" s="50">
        <f t="shared" si="10"/>
        <v>2.8682620070175435</v>
      </c>
      <c r="V25" s="101">
        <f t="shared" si="11"/>
        <v>145.40390350877192</v>
      </c>
      <c r="W25" s="50">
        <f t="shared" si="12"/>
        <v>11.787434924305616</v>
      </c>
      <c r="X25" s="77">
        <f>+(((10-W24)*(D25-D24))/(W25-W24))+D24</f>
        <v>63.555051575997354</v>
      </c>
      <c r="Y25" s="66" t="s">
        <v>125</v>
      </c>
      <c r="Z25" s="106"/>
      <c r="AA25" s="54">
        <f t="shared" si="13"/>
        <v>0.88212565075694382</v>
      </c>
      <c r="AB25" s="15"/>
    </row>
    <row r="26" spans="1:28" x14ac:dyDescent="0.25">
      <c r="A26" s="41">
        <v>14</v>
      </c>
      <c r="B26" s="42">
        <v>39601</v>
      </c>
      <c r="C26" s="43"/>
      <c r="D26" s="55">
        <v>80</v>
      </c>
      <c r="E26" s="56">
        <f t="shared" si="14"/>
        <v>10</v>
      </c>
      <c r="F26" s="72">
        <f>+'[1]Con 8hP4'!E46</f>
        <v>3.3114649122807016</v>
      </c>
      <c r="G26" s="47">
        <f t="shared" si="1"/>
        <v>33.114649122807016</v>
      </c>
      <c r="H26" s="47">
        <f>+F26/G85</f>
        <v>2.6845057715626074E-3</v>
      </c>
      <c r="I26" s="48">
        <f>+G26/G85</f>
        <v>2.6845057715626074E-2</v>
      </c>
      <c r="J26" s="49">
        <f t="shared" si="0"/>
        <v>2.147604617250086</v>
      </c>
      <c r="K26" s="45">
        <f t="shared" si="16"/>
        <v>2.6845057715626073</v>
      </c>
      <c r="L26" s="51">
        <f t="shared" si="2"/>
        <v>0.28011204481792723</v>
      </c>
      <c r="M26" s="132">
        <f t="shared" si="3"/>
        <v>0.79259571859279598</v>
      </c>
      <c r="N26" s="51">
        <f t="shared" si="4"/>
        <v>0.3317738088731802</v>
      </c>
      <c r="O26" s="52">
        <f t="shared" si="5"/>
        <v>0.27943086340084777</v>
      </c>
      <c r="P26" s="51">
        <f t="shared" si="6"/>
        <v>0.10455834903601208</v>
      </c>
      <c r="Q26" s="50">
        <f t="shared" si="7"/>
        <v>0.63677982401389222</v>
      </c>
      <c r="R26" s="51">
        <f t="shared" si="15"/>
        <v>2.4278593003424054E-2</v>
      </c>
      <c r="S26" s="57">
        <f t="shared" si="8"/>
        <v>34.704152280701749</v>
      </c>
      <c r="T26" s="50">
        <f t="shared" si="9"/>
        <v>2.77633218245614</v>
      </c>
      <c r="U26" s="50">
        <f t="shared" si="10"/>
        <v>2.77633218245614</v>
      </c>
      <c r="V26" s="101">
        <f t="shared" si="11"/>
        <v>178.51855263157893</v>
      </c>
      <c r="W26" s="50">
        <f t="shared" si="12"/>
        <v>14.471934873461063</v>
      </c>
      <c r="X26" s="77"/>
      <c r="Y26" s="105"/>
      <c r="Z26" s="106"/>
      <c r="AA26" s="54">
        <f t="shared" si="13"/>
        <v>0.85528065126538944</v>
      </c>
      <c r="AB26" s="15"/>
    </row>
    <row r="27" spans="1:28" x14ac:dyDescent="0.25">
      <c r="A27" s="41">
        <v>15</v>
      </c>
      <c r="B27" s="42">
        <v>39601</v>
      </c>
      <c r="C27" s="43"/>
      <c r="D27" s="63">
        <v>90</v>
      </c>
      <c r="E27" s="56">
        <f t="shared" si="14"/>
        <v>10</v>
      </c>
      <c r="F27" s="72">
        <f>+'[1]Con 8hP4'!E47</f>
        <v>3.2237456140350873</v>
      </c>
      <c r="G27" s="47">
        <f t="shared" si="1"/>
        <v>32.237456140350872</v>
      </c>
      <c r="H27" s="47">
        <f>+F27/G85</f>
        <v>2.6133943545143773E-3</v>
      </c>
      <c r="I27" s="48">
        <f>+G27/G85</f>
        <v>2.6133943545143774E-2</v>
      </c>
      <c r="J27" s="49">
        <f t="shared" si="0"/>
        <v>2.3520549190629398</v>
      </c>
      <c r="K27" s="45">
        <f t="shared" si="16"/>
        <v>2.6133943545143774</v>
      </c>
      <c r="L27" s="51">
        <f t="shared" si="2"/>
        <v>0.31512605042016811</v>
      </c>
      <c r="M27" s="132">
        <f t="shared" si="3"/>
        <v>0.77160019483846032</v>
      </c>
      <c r="N27" s="51">
        <f t="shared" si="4"/>
        <v>0.34442830848445904</v>
      </c>
      <c r="O27" s="52">
        <f t="shared" si="5"/>
        <v>0.28433971327206375</v>
      </c>
      <c r="P27" s="51">
        <f t="shared" si="6"/>
        <v>0.15962068337137703</v>
      </c>
      <c r="Q27" s="50">
        <f t="shared" si="7"/>
        <v>0.64201738240395356</v>
      </c>
      <c r="R27" s="51">
        <f t="shared" si="15"/>
        <v>1.6791705278436559E-2</v>
      </c>
      <c r="S27" s="57">
        <f t="shared" si="8"/>
        <v>33.784854035087719</v>
      </c>
      <c r="T27" s="50">
        <f t="shared" si="9"/>
        <v>2.7027883228070175</v>
      </c>
      <c r="U27" s="50">
        <f t="shared" si="10"/>
        <v>2.7027883228070175</v>
      </c>
      <c r="V27" s="101">
        <f t="shared" si="11"/>
        <v>210.7560087719298</v>
      </c>
      <c r="W27" s="50">
        <f t="shared" si="12"/>
        <v>17.08532355980137</v>
      </c>
      <c r="X27" s="77"/>
      <c r="Y27" s="105"/>
      <c r="Z27" s="106"/>
      <c r="AA27" s="54">
        <f t="shared" si="13"/>
        <v>0.82914676440198631</v>
      </c>
      <c r="AB27" s="15"/>
    </row>
    <row r="28" spans="1:28" x14ac:dyDescent="0.25">
      <c r="A28" s="41">
        <v>16</v>
      </c>
      <c r="B28" s="42">
        <v>39601</v>
      </c>
      <c r="C28" s="43"/>
      <c r="D28" s="55">
        <v>100</v>
      </c>
      <c r="E28" s="56">
        <f t="shared" si="14"/>
        <v>10</v>
      </c>
      <c r="F28" s="72">
        <f>+'[1]Con 8hP4'!E48</f>
        <v>3.2785701754385963</v>
      </c>
      <c r="G28" s="47">
        <f t="shared" si="1"/>
        <v>32.785701754385961</v>
      </c>
      <c r="H28" s="47">
        <f>+F28/G85</f>
        <v>2.6578389901695211E-3</v>
      </c>
      <c r="I28" s="48">
        <f>+G28/G85</f>
        <v>2.6578389901695209E-2</v>
      </c>
      <c r="J28" s="49">
        <f t="shared" si="0"/>
        <v>2.657838990169521</v>
      </c>
      <c r="K28" s="45">
        <f t="shared" si="16"/>
        <v>2.657838990169521</v>
      </c>
      <c r="L28" s="51">
        <f t="shared" si="2"/>
        <v>0.350140056022409</v>
      </c>
      <c r="M28" s="132">
        <f t="shared" si="3"/>
        <v>0.7847223971849201</v>
      </c>
      <c r="N28" s="51">
        <f t="shared" si="4"/>
        <v>0.35689887022316269</v>
      </c>
      <c r="O28" s="52">
        <f t="shared" si="5"/>
        <v>0.28908372571615643</v>
      </c>
      <c r="P28" s="51">
        <f t="shared" si="6"/>
        <v>0.22059868168551555</v>
      </c>
      <c r="Q28" s="50">
        <f t="shared" si="7"/>
        <v>0.64311416007635636</v>
      </c>
      <c r="R28" s="51">
        <f t="shared" si="15"/>
        <v>2.0052892816995207E-2</v>
      </c>
      <c r="S28" s="57">
        <f t="shared" si="8"/>
        <v>34.359415438596493</v>
      </c>
      <c r="T28" s="50">
        <f t="shared" si="9"/>
        <v>2.7487532350877193</v>
      </c>
      <c r="U28" s="50">
        <f t="shared" si="10"/>
        <v>2.7487532350877193</v>
      </c>
      <c r="V28" s="101">
        <f t="shared" si="11"/>
        <v>243.54171052631577</v>
      </c>
      <c r="W28" s="50">
        <f t="shared" si="12"/>
        <v>19.74315678540114</v>
      </c>
      <c r="X28" s="135"/>
      <c r="Y28" s="105"/>
      <c r="Z28" s="106"/>
      <c r="AA28" s="54">
        <f t="shared" si="13"/>
        <v>0.80256843214598861</v>
      </c>
      <c r="AB28" s="15"/>
    </row>
    <row r="29" spans="1:28" x14ac:dyDescent="0.25">
      <c r="A29" s="41">
        <v>17</v>
      </c>
      <c r="B29" s="42">
        <v>39601</v>
      </c>
      <c r="C29" s="43"/>
      <c r="D29" s="63">
        <v>110</v>
      </c>
      <c r="E29" s="56">
        <f>+D29-D28</f>
        <v>10</v>
      </c>
      <c r="F29" s="72">
        <f>+'[1]Con 8hP4'!E49</f>
        <v>3.1689210526315783</v>
      </c>
      <c r="G29" s="47">
        <f t="shared" si="1"/>
        <v>31.689210526315783</v>
      </c>
      <c r="H29" s="47">
        <f>+F29/G85</f>
        <v>2.5689497188592335E-3</v>
      </c>
      <c r="I29" s="48">
        <f>+G29/G85</f>
        <v>2.5689497188592335E-2</v>
      </c>
      <c r="J29" s="49">
        <f t="shared" si="0"/>
        <v>2.8258446907451567</v>
      </c>
      <c r="K29" s="45">
        <f t="shared" si="16"/>
        <v>2.5689497188592334</v>
      </c>
      <c r="L29" s="51">
        <f t="shared" si="2"/>
        <v>0.38515406162464988</v>
      </c>
      <c r="M29" s="132">
        <f t="shared" si="3"/>
        <v>0.75847799249200054</v>
      </c>
      <c r="N29" s="51">
        <f t="shared" si="4"/>
        <v>0.36913149513108745</v>
      </c>
      <c r="O29" s="52">
        <f t="shared" si="5"/>
        <v>0.29365184853604898</v>
      </c>
      <c r="P29" s="51">
        <f t="shared" si="6"/>
        <v>0.28373107539493797</v>
      </c>
      <c r="Q29" s="50">
        <f t="shared" si="7"/>
        <v>0.64084194361844127</v>
      </c>
      <c r="R29" s="51">
        <f t="shared" si="15"/>
        <v>1.3838239994582426E-2</v>
      </c>
      <c r="S29" s="57">
        <f t="shared" si="8"/>
        <v>33.210292631578945</v>
      </c>
      <c r="T29" s="50">
        <f t="shared" si="9"/>
        <v>2.6568234105263153</v>
      </c>
      <c r="U29" s="50">
        <f t="shared" si="10"/>
        <v>2.6568234105263153</v>
      </c>
      <c r="V29" s="101">
        <f t="shared" si="11"/>
        <v>275.23092105263157</v>
      </c>
      <c r="W29" s="50">
        <f t="shared" si="12"/>
        <v>22.312100932481989</v>
      </c>
      <c r="X29" s="77"/>
      <c r="Y29" s="107"/>
      <c r="Z29" s="106"/>
      <c r="AA29" s="54">
        <f t="shared" si="13"/>
        <v>0.77687899067518007</v>
      </c>
      <c r="AB29" s="15"/>
    </row>
    <row r="30" spans="1:28" x14ac:dyDescent="0.25">
      <c r="A30" s="41">
        <v>18</v>
      </c>
      <c r="B30" s="42">
        <v>39601</v>
      </c>
      <c r="C30" s="43"/>
      <c r="D30" s="55">
        <v>120</v>
      </c>
      <c r="E30" s="56">
        <f t="shared" si="14"/>
        <v>10</v>
      </c>
      <c r="F30" s="72">
        <f>+'[1]Con 8hP4'!E50</f>
        <v>3.190850877192982</v>
      </c>
      <c r="G30" s="47">
        <f t="shared" si="1"/>
        <v>31.908508771929821</v>
      </c>
      <c r="H30" s="47">
        <f>+F30/G85</f>
        <v>2.5867275731212913E-3</v>
      </c>
      <c r="I30" s="48">
        <f>+G30/G85</f>
        <v>2.5867275731212912E-2</v>
      </c>
      <c r="J30" s="49">
        <f t="shared" si="0"/>
        <v>3.1040730877455496</v>
      </c>
      <c r="K30" s="45">
        <f t="shared" si="16"/>
        <v>2.5867275731212915</v>
      </c>
      <c r="L30" s="51">
        <f t="shared" si="2"/>
        <v>0.42016806722689082</v>
      </c>
      <c r="M30" s="132">
        <f t="shared" si="3"/>
        <v>0.76372687343058454</v>
      </c>
      <c r="N30" s="51">
        <f t="shared" si="4"/>
        <v>0.38107163605838318</v>
      </c>
      <c r="O30" s="52">
        <f t="shared" si="5"/>
        <v>0.29803331161577623</v>
      </c>
      <c r="P30" s="51">
        <f t="shared" si="6"/>
        <v>0.3459145572229263</v>
      </c>
      <c r="Q30" s="50">
        <f t="shared" si="7"/>
        <v>0.63581743545330116</v>
      </c>
      <c r="R30" s="51">
        <f t="shared" si="15"/>
        <v>1.6360824323664504E-2</v>
      </c>
      <c r="S30" s="57">
        <f t="shared" si="8"/>
        <v>33.440117192982456</v>
      </c>
      <c r="T30" s="50">
        <f t="shared" si="9"/>
        <v>2.6752093754385964</v>
      </c>
      <c r="U30" s="50">
        <f t="shared" si="10"/>
        <v>2.6752093754385964</v>
      </c>
      <c r="V30" s="101">
        <f t="shared" si="11"/>
        <v>307.13942982456138</v>
      </c>
      <c r="W30" s="50">
        <f t="shared" si="12"/>
        <v>24.898822895266619</v>
      </c>
      <c r="X30" s="77"/>
      <c r="Y30" s="66"/>
      <c r="Z30" s="106"/>
      <c r="AA30" s="54">
        <f t="shared" si="13"/>
        <v>0.75101177104733385</v>
      </c>
      <c r="AB30" s="15"/>
    </row>
    <row r="31" spans="1:28" x14ac:dyDescent="0.25">
      <c r="A31" s="41">
        <v>19</v>
      </c>
      <c r="B31" s="42">
        <v>39601</v>
      </c>
      <c r="C31" s="43"/>
      <c r="D31" s="63">
        <v>135</v>
      </c>
      <c r="E31" s="56">
        <f t="shared" si="14"/>
        <v>15</v>
      </c>
      <c r="F31" s="72">
        <f>+'[1]Con 8hP4'!E51</f>
        <v>2.9057631578947367</v>
      </c>
      <c r="G31" s="47">
        <f t="shared" si="1"/>
        <v>43.586447368421048</v>
      </c>
      <c r="H31" s="47">
        <f>+F31/G85</f>
        <v>2.3556154677145448E-3</v>
      </c>
      <c r="I31" s="48">
        <f>+G31/G85</f>
        <v>3.533423201571817E-2</v>
      </c>
      <c r="J31" s="49">
        <f t="shared" si="0"/>
        <v>4.7701213221219527</v>
      </c>
      <c r="K31" s="45">
        <f t="shared" si="16"/>
        <v>2.3556154677145447</v>
      </c>
      <c r="L31" s="51">
        <f t="shared" si="2"/>
        <v>0.47268907563025214</v>
      </c>
      <c r="M31" s="132">
        <f t="shared" si="3"/>
        <v>0.69549142122899399</v>
      </c>
      <c r="N31" s="51">
        <f t="shared" si="4"/>
        <v>0.39831384091761401</v>
      </c>
      <c r="O31" s="52">
        <f t="shared" si="5"/>
        <v>0.30423276764408613</v>
      </c>
      <c r="P31" s="51">
        <f t="shared" si="6"/>
        <v>0.43255705766192187</v>
      </c>
      <c r="Q31" s="50">
        <f t="shared" si="7"/>
        <v>0.62419151776952075</v>
      </c>
      <c r="R31" s="51">
        <f t="shared" si="15"/>
        <v>5.0836762333302038E-3</v>
      </c>
      <c r="S31" s="57">
        <f t="shared" si="8"/>
        <v>45.678596842105264</v>
      </c>
      <c r="T31" s="50">
        <f t="shared" si="9"/>
        <v>3.654287747368421</v>
      </c>
      <c r="U31" s="50">
        <f t="shared" si="10"/>
        <v>3.654287747368421</v>
      </c>
      <c r="V31" s="101">
        <f t="shared" si="11"/>
        <v>350.72587719298241</v>
      </c>
      <c r="W31" s="50">
        <f t="shared" si="12"/>
        <v>28.432238433219766</v>
      </c>
      <c r="X31" s="71"/>
      <c r="Y31" s="106"/>
      <c r="Z31" s="106"/>
      <c r="AA31" s="54">
        <f t="shared" si="13"/>
        <v>0.71567761566780241</v>
      </c>
      <c r="AB31" s="15"/>
    </row>
    <row r="32" spans="1:28" x14ac:dyDescent="0.25">
      <c r="A32" s="41">
        <v>20</v>
      </c>
      <c r="B32" s="42">
        <v>39601</v>
      </c>
      <c r="C32" s="43"/>
      <c r="D32" s="55">
        <v>150</v>
      </c>
      <c r="E32" s="56">
        <f t="shared" si="14"/>
        <v>15</v>
      </c>
      <c r="F32" s="72">
        <f>+'[1]Con 8hP4'!E52</f>
        <v>2.6864649122807016</v>
      </c>
      <c r="G32" s="47">
        <f t="shared" si="1"/>
        <v>40.296973684210528</v>
      </c>
      <c r="H32" s="47">
        <f>+F32/G85</f>
        <v>2.1778369250939704E-3</v>
      </c>
      <c r="I32" s="48">
        <f>+G32/G85</f>
        <v>3.2667553876409558E-2</v>
      </c>
      <c r="J32" s="49">
        <f t="shared" si="0"/>
        <v>4.9001330814614334</v>
      </c>
      <c r="K32" s="45">
        <f t="shared" si="16"/>
        <v>2.1778369250939704</v>
      </c>
      <c r="L32" s="51">
        <f t="shared" si="2"/>
        <v>0.52521008403361347</v>
      </c>
      <c r="M32" s="132">
        <f t="shared" si="3"/>
        <v>0.64300261184315499</v>
      </c>
      <c r="N32" s="51">
        <f t="shared" si="4"/>
        <v>0.41459184774509866</v>
      </c>
      <c r="O32" s="52">
        <f t="shared" si="5"/>
        <v>0.30995515149710801</v>
      </c>
      <c r="P32" s="51">
        <f t="shared" si="6"/>
        <v>0.50723125151647575</v>
      </c>
      <c r="Q32" s="50">
        <f t="shared" si="7"/>
        <v>0.60881744152829398</v>
      </c>
      <c r="R32" s="51">
        <f t="shared" si="15"/>
        <v>1.1686258694560546E-3</v>
      </c>
      <c r="S32" s="57">
        <f t="shared" si="8"/>
        <v>42.231228421052634</v>
      </c>
      <c r="T32" s="50">
        <f t="shared" si="9"/>
        <v>3.3784982736842109</v>
      </c>
      <c r="U32" s="50">
        <f t="shared" si="10"/>
        <v>3.3784982736842109</v>
      </c>
      <c r="V32" s="101">
        <f t="shared" si="11"/>
        <v>391.02285087719292</v>
      </c>
      <c r="W32" s="50">
        <f t="shared" si="12"/>
        <v>31.698986735616142</v>
      </c>
      <c r="X32" s="77"/>
      <c r="Y32" s="105"/>
      <c r="Z32" s="106"/>
      <c r="AA32" s="54">
        <f t="shared" si="13"/>
        <v>0.68301013264383859</v>
      </c>
      <c r="AB32" s="15"/>
    </row>
    <row r="33" spans="1:28" x14ac:dyDescent="0.25">
      <c r="A33" s="41">
        <v>21</v>
      </c>
      <c r="B33" s="42">
        <v>39601</v>
      </c>
      <c r="C33" s="43"/>
      <c r="D33" s="63">
        <v>165</v>
      </c>
      <c r="E33" s="56">
        <f t="shared" si="14"/>
        <v>15</v>
      </c>
      <c r="F33" s="72">
        <f>+'[1]Con 8hP4'!E53</f>
        <v>2.6535701754385963</v>
      </c>
      <c r="G33" s="47">
        <f t="shared" si="1"/>
        <v>39.803552631578945</v>
      </c>
      <c r="H33" s="47">
        <f>+F33/G85</f>
        <v>2.1511701437008841E-3</v>
      </c>
      <c r="I33" s="48">
        <f>+G33/G85</f>
        <v>3.226755215551326E-2</v>
      </c>
      <c r="J33" s="49">
        <f t="shared" si="0"/>
        <v>5.3241461056596879</v>
      </c>
      <c r="K33" s="45">
        <f t="shared" si="16"/>
        <v>2.1511701437008841</v>
      </c>
      <c r="L33" s="51">
        <f t="shared" si="2"/>
        <v>0.57773109243697485</v>
      </c>
      <c r="M33" s="132">
        <f t="shared" si="3"/>
        <v>0.63512929043527921</v>
      </c>
      <c r="N33" s="51">
        <f t="shared" si="4"/>
        <v>0.42972706324304288</v>
      </c>
      <c r="O33" s="52">
        <f t="shared" si="5"/>
        <v>0.31516894648398602</v>
      </c>
      <c r="P33" s="51">
        <f t="shared" si="6"/>
        <v>0.56792314517675946</v>
      </c>
      <c r="Q33" s="50">
        <f t="shared" si="7"/>
        <v>0.5907148385230736</v>
      </c>
      <c r="R33" s="51">
        <f t="shared" si="15"/>
        <v>1.9726435386616245E-3</v>
      </c>
      <c r="S33" s="57">
        <f t="shared" si="8"/>
        <v>41.71412315789474</v>
      </c>
      <c r="T33" s="50">
        <f t="shared" si="9"/>
        <v>3.3371298526315791</v>
      </c>
      <c r="U33" s="50">
        <f t="shared" si="10"/>
        <v>3.3371298526315791</v>
      </c>
      <c r="V33" s="101">
        <f t="shared" si="11"/>
        <v>430.82640350877188</v>
      </c>
      <c r="W33" s="50">
        <f t="shared" si="12"/>
        <v>34.925734952679008</v>
      </c>
      <c r="X33" s="77"/>
      <c r="Y33" s="105"/>
      <c r="Z33" s="106"/>
      <c r="AA33" s="54">
        <f t="shared" si="13"/>
        <v>0.65074265047320989</v>
      </c>
      <c r="AB33" s="15"/>
    </row>
    <row r="34" spans="1:28" x14ac:dyDescent="0.25">
      <c r="A34" s="41">
        <v>22</v>
      </c>
      <c r="B34" s="42">
        <v>39601</v>
      </c>
      <c r="C34" s="43"/>
      <c r="D34" s="55">
        <v>180</v>
      </c>
      <c r="E34" s="56">
        <f t="shared" si="14"/>
        <v>15</v>
      </c>
      <c r="F34" s="72">
        <f>+'[1]Con 8hP4'!E54</f>
        <v>2.5768157894736841</v>
      </c>
      <c r="G34" s="47">
        <f t="shared" si="1"/>
        <v>38.65223684210526</v>
      </c>
      <c r="H34" s="47">
        <f>+F34/G85</f>
        <v>2.0889476537836829E-3</v>
      </c>
      <c r="I34" s="48">
        <f>+G34/G85</f>
        <v>3.1334214806755245E-2</v>
      </c>
      <c r="J34" s="49">
        <f t="shared" si="0"/>
        <v>5.6401586652159441</v>
      </c>
      <c r="K34" s="45">
        <f t="shared" si="16"/>
        <v>2.0889476537836829</v>
      </c>
      <c r="L34" s="51">
        <f t="shared" si="2"/>
        <v>0.63025210084033623</v>
      </c>
      <c r="M34" s="132">
        <f t="shared" si="3"/>
        <v>0.61675820715023555</v>
      </c>
      <c r="N34" s="51">
        <f t="shared" si="4"/>
        <v>0.44354862745095253</v>
      </c>
      <c r="O34" s="52">
        <f t="shared" si="5"/>
        <v>0.31984507804895251</v>
      </c>
      <c r="P34" s="51">
        <f t="shared" si="6"/>
        <v>0.61443948459046094</v>
      </c>
      <c r="Q34" s="50">
        <f t="shared" si="7"/>
        <v>0.57067299550820783</v>
      </c>
      <c r="R34" s="51">
        <f t="shared" si="15"/>
        <v>2.1238467320904876E-3</v>
      </c>
      <c r="S34" s="57">
        <f t="shared" si="8"/>
        <v>40.507544210526319</v>
      </c>
      <c r="T34" s="50">
        <f t="shared" si="9"/>
        <v>3.2406035368421056</v>
      </c>
      <c r="U34" s="50">
        <f t="shared" si="10"/>
        <v>3.2406035368421056</v>
      </c>
      <c r="V34" s="101">
        <f t="shared" si="11"/>
        <v>469.47864035087713</v>
      </c>
      <c r="W34" s="50">
        <f t="shared" si="12"/>
        <v>38.059149637297004</v>
      </c>
      <c r="X34" s="77"/>
      <c r="Y34" s="105"/>
      <c r="Z34" s="106"/>
      <c r="AA34" s="54">
        <f t="shared" si="13"/>
        <v>0.61940850362703004</v>
      </c>
      <c r="AB34" s="15"/>
    </row>
    <row r="35" spans="1:28" x14ac:dyDescent="0.25">
      <c r="A35" s="41">
        <v>23</v>
      </c>
      <c r="B35" s="42">
        <v>39601</v>
      </c>
      <c r="C35" s="43"/>
      <c r="D35" s="63">
        <v>195</v>
      </c>
      <c r="E35" s="56">
        <f>+D35-D34</f>
        <v>15</v>
      </c>
      <c r="F35" s="72">
        <f>+'[1]Con 8hP4'!E55</f>
        <v>2.313657894736842</v>
      </c>
      <c r="G35" s="47">
        <f t="shared" si="1"/>
        <v>34.70486842105263</v>
      </c>
      <c r="H35" s="47">
        <f>+F35/G85</f>
        <v>1.8756134026389937E-3</v>
      </c>
      <c r="I35" s="48">
        <f>+G35/G85</f>
        <v>2.8134201039584906E-2</v>
      </c>
      <c r="J35" s="49">
        <f t="shared" si="0"/>
        <v>5.4861692027190569</v>
      </c>
      <c r="K35" s="45">
        <f t="shared" si="16"/>
        <v>1.8756134026389937</v>
      </c>
      <c r="L35" s="51">
        <f t="shared" si="2"/>
        <v>0.68277310924369761</v>
      </c>
      <c r="M35" s="132">
        <f t="shared" si="3"/>
        <v>0.55377163588722889</v>
      </c>
      <c r="N35" s="51">
        <f t="shared" si="4"/>
        <v>0.4558966079373365</v>
      </c>
      <c r="O35" s="52">
        <f t="shared" si="5"/>
        <v>0.32395718355846753</v>
      </c>
      <c r="P35" s="51">
        <f t="shared" si="6"/>
        <v>0.64764758969458003</v>
      </c>
      <c r="Q35" s="50">
        <f t="shared" si="7"/>
        <v>0.54930930329762073</v>
      </c>
      <c r="R35" s="51">
        <f t="shared" si="15"/>
        <v>1.9912412140279009E-5</v>
      </c>
      <c r="S35" s="57">
        <f t="shared" si="8"/>
        <v>36.370702105263163</v>
      </c>
      <c r="T35" s="50">
        <f t="shared" si="9"/>
        <v>2.9096561684210531</v>
      </c>
      <c r="U35" s="50">
        <f t="shared" si="10"/>
        <v>2.9096561684210531</v>
      </c>
      <c r="V35" s="101">
        <f t="shared" si="11"/>
        <v>504.18350877192978</v>
      </c>
      <c r="W35" s="50">
        <f t="shared" si="12"/>
        <v>40.87256363924687</v>
      </c>
      <c r="X35" s="77"/>
      <c r="Y35" s="106"/>
      <c r="AA35" s="54">
        <f t="shared" si="13"/>
        <v>0.59127436360753127</v>
      </c>
      <c r="AB35" s="15"/>
    </row>
    <row r="36" spans="1:28" x14ac:dyDescent="0.25">
      <c r="A36" s="41">
        <v>24</v>
      </c>
      <c r="B36" s="42">
        <v>39601</v>
      </c>
      <c r="C36" s="43"/>
      <c r="D36" s="55">
        <v>210</v>
      </c>
      <c r="E36" s="56">
        <f t="shared" si="14"/>
        <v>15</v>
      </c>
      <c r="F36" s="72">
        <f>+'[1]Con 8hP4'!E56</f>
        <v>2.2697982456140351</v>
      </c>
      <c r="G36" s="47">
        <f t="shared" si="1"/>
        <v>34.046973684210528</v>
      </c>
      <c r="H36" s="47">
        <f>+F36/G85</f>
        <v>1.840057694114879E-3</v>
      </c>
      <c r="I36" s="48">
        <f>+G36/G85</f>
        <v>2.7600865411723186E-2</v>
      </c>
      <c r="J36" s="49">
        <f t="shared" si="0"/>
        <v>5.7961817364618691</v>
      </c>
      <c r="K36" s="45">
        <f t="shared" si="16"/>
        <v>1.840057694114879</v>
      </c>
      <c r="L36" s="51">
        <f t="shared" si="2"/>
        <v>0.73529411764705888</v>
      </c>
      <c r="M36" s="132">
        <f t="shared" si="3"/>
        <v>0.54327387401006111</v>
      </c>
      <c r="N36" s="51">
        <f t="shared" si="4"/>
        <v>0.46662507104837003</v>
      </c>
      <c r="O36" s="52">
        <f t="shared" si="5"/>
        <v>0.32748185970797927</v>
      </c>
      <c r="P36" s="51">
        <f t="shared" si="6"/>
        <v>0.66895370833144474</v>
      </c>
      <c r="Q36" s="50">
        <f t="shared" si="7"/>
        <v>0.52710989885206461</v>
      </c>
      <c r="R36" s="51">
        <f t="shared" si="15"/>
        <v>2.6127409290832804E-4</v>
      </c>
      <c r="S36" s="57">
        <f t="shared" si="8"/>
        <v>35.68122842105263</v>
      </c>
      <c r="T36" s="50">
        <f t="shared" si="9"/>
        <v>2.8544982736842104</v>
      </c>
      <c r="U36" s="50">
        <f t="shared" si="10"/>
        <v>2.8544982736842104</v>
      </c>
      <c r="V36" s="101">
        <f t="shared" si="11"/>
        <v>538.23048245614029</v>
      </c>
      <c r="W36" s="50">
        <f t="shared" si="12"/>
        <v>43.632644194085387</v>
      </c>
      <c r="X36" s="77"/>
      <c r="Y36" s="106"/>
      <c r="AA36" s="54">
        <f t="shared" si="13"/>
        <v>0.5636735580591461</v>
      </c>
      <c r="AB36" s="15"/>
    </row>
    <row r="37" spans="1:28" x14ac:dyDescent="0.25">
      <c r="A37" s="41">
        <v>25</v>
      </c>
      <c r="B37" s="42">
        <v>39601</v>
      </c>
      <c r="C37" s="43"/>
      <c r="D37" s="63">
        <v>225</v>
      </c>
      <c r="E37" s="56">
        <f t="shared" si="14"/>
        <v>15</v>
      </c>
      <c r="F37" s="72">
        <f>+'[1]Con 8hP4'!E57</f>
        <v>2.2478684210526314</v>
      </c>
      <c r="G37" s="47">
        <f t="shared" si="1"/>
        <v>33.718026315789473</v>
      </c>
      <c r="H37" s="47">
        <f>+F37/G85</f>
        <v>1.8222798398528214E-3</v>
      </c>
      <c r="I37" s="48">
        <f>+G37/G85</f>
        <v>2.7334197597792324E-2</v>
      </c>
      <c r="J37" s="49">
        <f t="shared" si="0"/>
        <v>6.1501944595032727</v>
      </c>
      <c r="K37" s="45">
        <f t="shared" si="16"/>
        <v>1.8222798398528215</v>
      </c>
      <c r="L37" s="51">
        <f t="shared" si="2"/>
        <v>0.78781512605042026</v>
      </c>
      <c r="M37" s="132">
        <f t="shared" si="3"/>
        <v>0.53802499307147711</v>
      </c>
      <c r="N37" s="51">
        <f t="shared" si="4"/>
        <v>0.475604948019892</v>
      </c>
      <c r="O37" s="52">
        <f t="shared" si="5"/>
        <v>0.33039888430174624</v>
      </c>
      <c r="P37" s="51">
        <f t="shared" si="6"/>
        <v>0.67997238905424962</v>
      </c>
      <c r="Q37" s="50">
        <f t="shared" si="7"/>
        <v>0.50445889897686036</v>
      </c>
      <c r="R37" s="51">
        <f t="shared" si="15"/>
        <v>1.1266826727686654E-3</v>
      </c>
      <c r="S37" s="57">
        <f t="shared" si="8"/>
        <v>35.336491578947367</v>
      </c>
      <c r="T37" s="50">
        <f t="shared" si="9"/>
        <v>2.8269193263157892</v>
      </c>
      <c r="U37" s="50">
        <f t="shared" si="10"/>
        <v>2.8269193263157892</v>
      </c>
      <c r="V37" s="101">
        <f t="shared" si="11"/>
        <v>571.94850877192971</v>
      </c>
      <c r="W37" s="50">
        <f t="shared" si="12"/>
        <v>46.366058025368226</v>
      </c>
      <c r="X37" s="77"/>
      <c r="Y37" s="105"/>
      <c r="AA37" s="54">
        <f t="shared" si="13"/>
        <v>0.53633941974631782</v>
      </c>
      <c r="AB37" s="15"/>
    </row>
    <row r="38" spans="1:28" x14ac:dyDescent="0.25">
      <c r="A38" s="41">
        <v>26</v>
      </c>
      <c r="B38" s="42">
        <v>39601</v>
      </c>
      <c r="C38" s="43"/>
      <c r="D38" s="55">
        <v>240</v>
      </c>
      <c r="E38" s="56">
        <f t="shared" si="14"/>
        <v>15</v>
      </c>
      <c r="F38" s="72">
        <f>+'[1]Con 8hP4'!E58</f>
        <v>2.2040087719298245</v>
      </c>
      <c r="G38" s="47">
        <f t="shared" si="1"/>
        <v>33.06013157894737</v>
      </c>
      <c r="H38" s="47">
        <f>+F38/G85</f>
        <v>1.7867241313287065E-3</v>
      </c>
      <c r="I38" s="48">
        <f>+G38/G85</f>
        <v>2.68008619699306E-2</v>
      </c>
      <c r="J38" s="49">
        <f t="shared" si="0"/>
        <v>6.4322068727833441</v>
      </c>
      <c r="K38" s="45">
        <f t="shared" si="16"/>
        <v>1.7867241313287066</v>
      </c>
      <c r="L38" s="51">
        <f t="shared" si="2"/>
        <v>0.84033613445378164</v>
      </c>
      <c r="M38" s="132">
        <f t="shared" si="3"/>
        <v>0.52752723119430933</v>
      </c>
      <c r="N38" s="51">
        <f t="shared" si="4"/>
        <v>0.48272661738623918</v>
      </c>
      <c r="O38" s="52">
        <f t="shared" si="5"/>
        <v>0.33269140946622178</v>
      </c>
      <c r="P38" s="51">
        <f t="shared" si="6"/>
        <v>0.68233015752008253</v>
      </c>
      <c r="Q38" s="50">
        <f t="shared" si="7"/>
        <v>0.48166001442078937</v>
      </c>
      <c r="R38" s="51">
        <f t="shared" si="15"/>
        <v>2.1038015745490708E-3</v>
      </c>
      <c r="S38" s="57">
        <f t="shared" si="8"/>
        <v>34.647017894736841</v>
      </c>
      <c r="T38" s="50">
        <f t="shared" si="9"/>
        <v>2.7717614315789474</v>
      </c>
      <c r="U38" s="50">
        <f t="shared" si="10"/>
        <v>2.7717614315789474</v>
      </c>
      <c r="V38" s="101">
        <f t="shared" si="11"/>
        <v>605.00864035087704</v>
      </c>
      <c r="W38" s="50">
        <f t="shared" si="12"/>
        <v>49.046138409539708</v>
      </c>
      <c r="AA38" s="54">
        <f t="shared" si="13"/>
        <v>0.50953861590460292</v>
      </c>
      <c r="AB38" s="15"/>
    </row>
    <row r="39" spans="1:28" x14ac:dyDescent="0.25">
      <c r="A39" s="41">
        <v>27</v>
      </c>
      <c r="B39" s="42">
        <v>39601</v>
      </c>
      <c r="C39" s="43"/>
      <c r="D39" s="63">
        <v>255</v>
      </c>
      <c r="E39" s="56">
        <f t="shared" si="14"/>
        <v>15</v>
      </c>
      <c r="F39" s="72">
        <f>+'[1]Con 8hP4'!E59</f>
        <v>2.1711140350877192</v>
      </c>
      <c r="G39" s="47">
        <f t="shared" si="1"/>
        <v>32.566710526315788</v>
      </c>
      <c r="H39" s="47">
        <f>+F39/G85</f>
        <v>1.7600573499356204E-3</v>
      </c>
      <c r="I39" s="48">
        <f>+G39/G85</f>
        <v>2.6400860249034305E-2</v>
      </c>
      <c r="J39" s="49">
        <f t="shared" si="0"/>
        <v>6.7322193635037477</v>
      </c>
      <c r="K39" s="45">
        <f t="shared" si="16"/>
        <v>1.7600573499356205</v>
      </c>
      <c r="L39" s="51">
        <f t="shared" si="2"/>
        <v>0.89285714285714302</v>
      </c>
      <c r="M39" s="132">
        <f t="shared" si="3"/>
        <v>0.51965390978643355</v>
      </c>
      <c r="N39" s="51">
        <f t="shared" si="4"/>
        <v>0.4879021315067894</v>
      </c>
      <c r="O39" s="52">
        <f t="shared" si="5"/>
        <v>0.33434612371459721</v>
      </c>
      <c r="P39" s="51">
        <f t="shared" si="6"/>
        <v>0.6775573719276361</v>
      </c>
      <c r="Q39" s="50">
        <f t="shared" si="7"/>
        <v>0.45895289461830696</v>
      </c>
      <c r="R39" s="51">
        <f t="shared" si="15"/>
        <v>3.6846132424411347E-3</v>
      </c>
      <c r="S39" s="57">
        <f t="shared" si="8"/>
        <v>34.129912631578947</v>
      </c>
      <c r="T39" s="50">
        <f t="shared" si="9"/>
        <v>2.7303930105263157</v>
      </c>
      <c r="U39" s="50">
        <f t="shared" si="10"/>
        <v>2.7303930105263157</v>
      </c>
      <c r="V39" s="101">
        <f t="shared" si="11"/>
        <v>637.57535087719282</v>
      </c>
      <c r="W39" s="50">
        <f t="shared" si="12"/>
        <v>51.686218708377673</v>
      </c>
      <c r="X39" s="77">
        <f>+(((50-W38)*(D39-D38))/(W39-W38))+D38</f>
        <v>245.41950328677581</v>
      </c>
      <c r="Y39" s="66" t="s">
        <v>77</v>
      </c>
      <c r="AA39" s="54">
        <f t="shared" si="13"/>
        <v>0.48313781291622326</v>
      </c>
      <c r="AB39" s="15"/>
    </row>
    <row r="40" spans="1:28" x14ac:dyDescent="0.25">
      <c r="A40" s="41">
        <v>28</v>
      </c>
      <c r="B40" s="42">
        <v>39601</v>
      </c>
      <c r="C40" s="43"/>
      <c r="D40" s="55">
        <v>270</v>
      </c>
      <c r="E40" s="56">
        <f t="shared" si="14"/>
        <v>15</v>
      </c>
      <c r="F40" s="72">
        <f>+'[1]Con 8hP4'!E60</f>
        <v>1.8640964912280702</v>
      </c>
      <c r="G40" s="47">
        <f t="shared" si="1"/>
        <v>27.961447368421052</v>
      </c>
      <c r="H40" s="47">
        <f>+F40/G85</f>
        <v>1.5111673902668164E-3</v>
      </c>
      <c r="I40" s="48">
        <f>+G40/G85</f>
        <v>2.2667510854002242E-2</v>
      </c>
      <c r="J40" s="49">
        <f t="shared" si="0"/>
        <v>6.1202279305806053</v>
      </c>
      <c r="K40" s="45">
        <f t="shared" si="16"/>
        <v>1.5111673902668163</v>
      </c>
      <c r="L40" s="51">
        <f t="shared" si="2"/>
        <v>0.94537815126050428</v>
      </c>
      <c r="M40" s="132">
        <f t="shared" si="3"/>
        <v>0.446169576646259</v>
      </c>
      <c r="N40" s="51">
        <f t="shared" si="4"/>
        <v>0.49106702400654234</v>
      </c>
      <c r="O40" s="52">
        <f t="shared" si="5"/>
        <v>0.33535338068154547</v>
      </c>
      <c r="P40" s="51">
        <f t="shared" si="6"/>
        <v>0.6670353752429149</v>
      </c>
      <c r="Q40" s="50">
        <f t="shared" si="7"/>
        <v>0.4365257196192871</v>
      </c>
      <c r="R40" s="51">
        <f t="shared" si="15"/>
        <v>9.3003978356675341E-5</v>
      </c>
      <c r="S40" s="57">
        <f t="shared" si="8"/>
        <v>29.303596842105264</v>
      </c>
      <c r="T40" s="50">
        <f t="shared" si="9"/>
        <v>2.3442877473684209</v>
      </c>
      <c r="U40" s="50">
        <f t="shared" si="10"/>
        <v>2.3442877473684209</v>
      </c>
      <c r="V40" s="101">
        <f t="shared" si="11"/>
        <v>665.53679824561391</v>
      </c>
      <c r="W40" s="50">
        <f t="shared" si="12"/>
        <v>53.952964877436173</v>
      </c>
      <c r="X40" s="19"/>
      <c r="Y40" s="3"/>
      <c r="AA40" s="54">
        <f t="shared" si="13"/>
        <v>0.46047035122563829</v>
      </c>
      <c r="AB40" s="15"/>
    </row>
    <row r="41" spans="1:28" x14ac:dyDescent="0.25">
      <c r="A41" s="41">
        <v>29</v>
      </c>
      <c r="B41" s="42">
        <v>39601</v>
      </c>
      <c r="C41" s="43"/>
      <c r="D41" s="63">
        <v>285</v>
      </c>
      <c r="E41" s="56">
        <f>+D41-D40</f>
        <v>15</v>
      </c>
      <c r="F41" s="72">
        <f>+'[1]Con 8hP4'!E61</f>
        <v>1.9298859649122806</v>
      </c>
      <c r="G41" s="47">
        <f t="shared" si="1"/>
        <v>28.948289473684209</v>
      </c>
      <c r="H41" s="47">
        <f>+F41/G85</f>
        <v>1.5645009530529884E-3</v>
      </c>
      <c r="I41" s="48">
        <f>+G41/G85</f>
        <v>2.3467514295794828E-2</v>
      </c>
      <c r="J41" s="49">
        <f t="shared" si="0"/>
        <v>6.688241574301526</v>
      </c>
      <c r="K41" s="45">
        <f t="shared" si="16"/>
        <v>1.5645009530529885</v>
      </c>
      <c r="L41" s="51">
        <f t="shared" si="2"/>
        <v>0.99789915966386566</v>
      </c>
      <c r="M41" s="132">
        <f t="shared" si="3"/>
        <v>0.46191621946201067</v>
      </c>
      <c r="N41" s="51">
        <f t="shared" si="4"/>
        <v>0.49218164620529831</v>
      </c>
      <c r="O41" s="52">
        <f t="shared" si="5"/>
        <v>0.33570729278635197</v>
      </c>
      <c r="P41" s="51">
        <f t="shared" si="6"/>
        <v>0.65197696961898022</v>
      </c>
      <c r="Q41" s="50">
        <f t="shared" si="7"/>
        <v>0.41452505150493701</v>
      </c>
      <c r="R41" s="51">
        <f t="shared" si="15"/>
        <v>2.2459228003355648E-3</v>
      </c>
      <c r="S41" s="57">
        <f t="shared" si="8"/>
        <v>30.337807368421053</v>
      </c>
      <c r="T41" s="50">
        <f t="shared" si="9"/>
        <v>2.4270245894736844</v>
      </c>
      <c r="U41" s="50">
        <f t="shared" si="10"/>
        <v>2.4270245894736844</v>
      </c>
      <c r="V41" s="101">
        <f t="shared" si="11"/>
        <v>694.48508771929812</v>
      </c>
      <c r="W41" s="50">
        <f t="shared" si="12"/>
        <v>56.299711217161693</v>
      </c>
      <c r="X41" s="77"/>
      <c r="Y41" s="66"/>
      <c r="AA41" s="54">
        <f t="shared" si="13"/>
        <v>0.43700288782838304</v>
      </c>
      <c r="AB41" s="15"/>
    </row>
    <row r="42" spans="1:28" x14ac:dyDescent="0.25">
      <c r="A42" s="41">
        <v>30</v>
      </c>
      <c r="B42" s="42">
        <v>39601</v>
      </c>
      <c r="C42" s="43"/>
      <c r="D42" s="55">
        <v>300</v>
      </c>
      <c r="E42" s="56">
        <f t="shared" si="14"/>
        <v>15</v>
      </c>
      <c r="F42" s="72">
        <f>+'[1]Con 8hP4'!E62</f>
        <v>2.0505</v>
      </c>
      <c r="G42" s="47">
        <f t="shared" si="1"/>
        <v>30.7575</v>
      </c>
      <c r="H42" s="47">
        <f>+F42/G85</f>
        <v>1.6622791514943045E-3</v>
      </c>
      <c r="I42" s="48">
        <f>+G42/G85</f>
        <v>2.493418727241457E-2</v>
      </c>
      <c r="J42" s="49">
        <f t="shared" si="0"/>
        <v>7.4802561817243713</v>
      </c>
      <c r="K42" s="45">
        <f t="shared" si="16"/>
        <v>1.6622791514943045</v>
      </c>
      <c r="L42" s="51">
        <f t="shared" si="2"/>
        <v>1.0504201680672269</v>
      </c>
      <c r="M42" s="132">
        <f t="shared" si="3"/>
        <v>0.49078506462422211</v>
      </c>
      <c r="N42" s="51">
        <f t="shared" si="4"/>
        <v>0.49123199380331389</v>
      </c>
      <c r="O42" s="52">
        <f t="shared" si="5"/>
        <v>0.33540578855205361</v>
      </c>
      <c r="P42" s="51">
        <f t="shared" si="6"/>
        <v>0.63342608434252401</v>
      </c>
      <c r="Q42" s="50">
        <f t="shared" si="7"/>
        <v>0.39306364114644066</v>
      </c>
      <c r="R42" s="51">
        <f t="shared" si="15"/>
        <v>9.5494766065238965E-3</v>
      </c>
      <c r="S42" s="57">
        <f t="shared" si="8"/>
        <v>32.23386</v>
      </c>
      <c r="T42" s="50">
        <f t="shared" si="9"/>
        <v>2.5787087999999998</v>
      </c>
      <c r="U42" s="50">
        <f t="shared" si="10"/>
        <v>2.5787087999999998</v>
      </c>
      <c r="V42" s="101">
        <f t="shared" si="11"/>
        <v>725.24258771929817</v>
      </c>
      <c r="W42" s="50">
        <f t="shared" si="12"/>
        <v>58.79312453644345</v>
      </c>
      <c r="X42" s="19"/>
      <c r="Y42" s="3"/>
      <c r="AA42" s="54">
        <f t="shared" si="13"/>
        <v>0.41206875463556547</v>
      </c>
      <c r="AB42" s="15"/>
    </row>
    <row r="43" spans="1:28" x14ac:dyDescent="0.25">
      <c r="A43" s="41">
        <v>31</v>
      </c>
      <c r="B43" s="42">
        <v>39601</v>
      </c>
      <c r="C43" s="43"/>
      <c r="D43" s="55">
        <v>320</v>
      </c>
      <c r="E43" s="56">
        <f t="shared" si="14"/>
        <v>20</v>
      </c>
      <c r="F43" s="72">
        <f>+'[1]Con 8hP4'!E63</f>
        <v>1.8421666666666665</v>
      </c>
      <c r="G43" s="47">
        <f t="shared" si="1"/>
        <v>36.843333333333334</v>
      </c>
      <c r="H43" s="47">
        <f>+F43/G85</f>
        <v>1.4933895360047587E-3</v>
      </c>
      <c r="I43" s="48">
        <f>+G43/G85</f>
        <v>2.9867790720095176E-2</v>
      </c>
      <c r="J43" s="49">
        <f t="shared" si="0"/>
        <v>9.5576930304304568</v>
      </c>
      <c r="K43" s="45">
        <f t="shared" si="16"/>
        <v>1.4933895360047587</v>
      </c>
      <c r="L43" s="51">
        <f t="shared" si="2"/>
        <v>1.1204481792717089</v>
      </c>
      <c r="M43" s="132">
        <f t="shared" si="3"/>
        <v>0.44092069570767511</v>
      </c>
      <c r="N43" s="51">
        <f t="shared" si="4"/>
        <v>0.48677903372938525</v>
      </c>
      <c r="O43" s="52">
        <f t="shared" si="5"/>
        <v>0.33398784760989186</v>
      </c>
      <c r="P43" s="51">
        <f t="shared" si="6"/>
        <v>0.6047675615836805</v>
      </c>
      <c r="Q43" s="50">
        <f t="shared" si="7"/>
        <v>0.36543119427064991</v>
      </c>
      <c r="R43" s="51">
        <f t="shared" si="15"/>
        <v>5.6986648272106307E-3</v>
      </c>
      <c r="S43" s="57">
        <f t="shared" si="8"/>
        <v>38.61181333333333</v>
      </c>
      <c r="T43" s="50">
        <f t="shared" si="9"/>
        <v>3.0889450666666667</v>
      </c>
      <c r="U43" s="50">
        <f t="shared" si="10"/>
        <v>3.0889450666666667</v>
      </c>
      <c r="V43" s="101">
        <f t="shared" si="11"/>
        <v>762.08592105263153</v>
      </c>
      <c r="W43" s="50">
        <f t="shared" si="12"/>
        <v>61.779897130447218</v>
      </c>
      <c r="X43" s="19"/>
      <c r="Y43" s="3"/>
      <c r="AA43" s="54">
        <f t="shared" si="13"/>
        <v>0.38220102869552786</v>
      </c>
      <c r="AB43" s="15"/>
    </row>
    <row r="44" spans="1:28" x14ac:dyDescent="0.25">
      <c r="A44" s="41">
        <v>32</v>
      </c>
      <c r="B44" s="42">
        <v>39601</v>
      </c>
      <c r="C44" s="43"/>
      <c r="D44" s="55">
        <v>340</v>
      </c>
      <c r="E44" s="56">
        <f t="shared" si="14"/>
        <v>20</v>
      </c>
      <c r="F44" s="72">
        <f>+'[1]Con 8hP4'!E64</f>
        <v>1.8092719298245612</v>
      </c>
      <c r="G44" s="47">
        <f t="shared" si="1"/>
        <v>36.185438596491224</v>
      </c>
      <c r="H44" s="47">
        <f>+F44/G85</f>
        <v>1.4667227546116726E-3</v>
      </c>
      <c r="I44" s="48">
        <f>+G44/G85</f>
        <v>2.9334455092233449E-2</v>
      </c>
      <c r="J44" s="49">
        <f t="shared" si="0"/>
        <v>9.9737147313593724</v>
      </c>
      <c r="K44" s="45">
        <f t="shared" si="16"/>
        <v>1.4667227546116726</v>
      </c>
      <c r="L44" s="51">
        <f t="shared" si="2"/>
        <v>1.1904761904761907</v>
      </c>
      <c r="M44" s="132">
        <f t="shared" si="3"/>
        <v>0.43304737429979923</v>
      </c>
      <c r="N44" s="51">
        <f t="shared" si="4"/>
        <v>0.47877940518874118</v>
      </c>
      <c r="O44" s="52">
        <f t="shared" si="5"/>
        <v>0.33142302049789324</v>
      </c>
      <c r="P44" s="51">
        <f t="shared" si="6"/>
        <v>0.57316501163901568</v>
      </c>
      <c r="Q44" s="50">
        <f t="shared" si="7"/>
        <v>0.33904791176493465</v>
      </c>
      <c r="R44" s="51">
        <f t="shared" si="15"/>
        <v>8.8358989568434083E-3</v>
      </c>
      <c r="S44" s="57">
        <f t="shared" si="8"/>
        <v>37.922339649122804</v>
      </c>
      <c r="T44" s="50">
        <f t="shared" si="9"/>
        <v>3.0337871719298244</v>
      </c>
      <c r="U44" s="50">
        <f t="shared" si="10"/>
        <v>3.0337871719298244</v>
      </c>
      <c r="V44" s="101">
        <f t="shared" si="11"/>
        <v>798.27135964912281</v>
      </c>
      <c r="W44" s="50">
        <f t="shared" si="12"/>
        <v>64.713336277339621</v>
      </c>
      <c r="X44" s="19"/>
      <c r="Y44" s="3"/>
      <c r="AA44" s="54">
        <f t="shared" si="13"/>
        <v>0.35286663722660383</v>
      </c>
      <c r="AB44" s="15"/>
    </row>
    <row r="45" spans="1:28" x14ac:dyDescent="0.25">
      <c r="A45" s="41">
        <v>33</v>
      </c>
      <c r="B45" s="42">
        <v>39601</v>
      </c>
      <c r="C45" s="43"/>
      <c r="D45" s="55">
        <v>360</v>
      </c>
      <c r="E45" s="56">
        <f t="shared" si="14"/>
        <v>20</v>
      </c>
      <c r="F45" s="67">
        <f>+'[1]Con 8hP4'!E65</f>
        <v>1.6228684210526316</v>
      </c>
      <c r="G45" s="47">
        <f t="shared" si="1"/>
        <v>32.457368421052635</v>
      </c>
      <c r="H45" s="47">
        <f>+F45/G85</f>
        <v>1.3156109933841844E-3</v>
      </c>
      <c r="I45" s="48">
        <f>+G45/G85</f>
        <v>2.631221986768369E-2</v>
      </c>
      <c r="J45" s="49">
        <f t="shared" si="0"/>
        <v>9.472399152366128</v>
      </c>
      <c r="K45" s="45">
        <f t="shared" si="16"/>
        <v>1.3156109933841844</v>
      </c>
      <c r="L45" s="51">
        <f t="shared" si="2"/>
        <v>1.2605042016806725</v>
      </c>
      <c r="M45" s="132">
        <f t="shared" si="3"/>
        <v>0.38843188632183623</v>
      </c>
      <c r="N45" s="51">
        <f t="shared" si="4"/>
        <v>0.46740939149408778</v>
      </c>
      <c r="O45" s="52">
        <f t="shared" si="5"/>
        <v>0.32773782838098303</v>
      </c>
      <c r="P45" s="51">
        <f t="shared" si="6"/>
        <v>0.53994246686367031</v>
      </c>
      <c r="Q45" s="50">
        <f t="shared" si="7"/>
        <v>0.31400078597339065</v>
      </c>
      <c r="R45" s="51">
        <f t="shared" si="15"/>
        <v>5.5399886990803752E-3</v>
      </c>
      <c r="S45" s="57">
        <f t="shared" si="8"/>
        <v>34.015322105263159</v>
      </c>
      <c r="T45" s="50">
        <f t="shared" si="9"/>
        <v>2.721225768421053</v>
      </c>
      <c r="U45" s="50">
        <f t="shared" si="10"/>
        <v>2.721225768421053</v>
      </c>
      <c r="V45" s="101">
        <f t="shared" si="11"/>
        <v>830.72872807017541</v>
      </c>
      <c r="W45" s="50">
        <f t="shared" si="12"/>
        <v>67.344552557267676</v>
      </c>
      <c r="X45" s="73">
        <f>+((([1]Resumen!N11-F44)*(D45-D44))/(F45-F44))+D44</f>
        <v>350.59152941176472</v>
      </c>
      <c r="Y45" s="74" t="s">
        <v>78</v>
      </c>
      <c r="AA45" s="54">
        <f t="shared" si="13"/>
        <v>0.32655447442732322</v>
      </c>
      <c r="AB45" s="15"/>
    </row>
    <row r="46" spans="1:28" x14ac:dyDescent="0.25">
      <c r="A46" s="41">
        <v>34</v>
      </c>
      <c r="B46" s="42">
        <v>39601</v>
      </c>
      <c r="C46" s="43"/>
      <c r="D46" s="55">
        <v>380</v>
      </c>
      <c r="E46" s="56">
        <f t="shared" si="14"/>
        <v>20</v>
      </c>
      <c r="F46" s="67">
        <f>+'[1]Con 8hP4'!E66</f>
        <v>1.3487456140350877</v>
      </c>
      <c r="G46" s="47">
        <f t="shared" si="1"/>
        <v>26.974912280701755</v>
      </c>
      <c r="H46" s="47">
        <f>+F46/G85</f>
        <v>1.0933878151084665E-3</v>
      </c>
      <c r="I46" s="48">
        <f>+G46/G85</f>
        <v>2.186775630216933E-2</v>
      </c>
      <c r="J46" s="49">
        <f t="shared" si="0"/>
        <v>8.3097473948243454</v>
      </c>
      <c r="K46" s="45">
        <f t="shared" si="16"/>
        <v>1.0933878151084666</v>
      </c>
      <c r="L46" s="51">
        <f t="shared" si="2"/>
        <v>1.3305322128851542</v>
      </c>
      <c r="M46" s="132">
        <f t="shared" si="3"/>
        <v>0.32282087458953751</v>
      </c>
      <c r="N46" s="51">
        <f t="shared" si="4"/>
        <v>0.4529161266136586</v>
      </c>
      <c r="O46" s="52">
        <f t="shared" si="5"/>
        <v>0.3229701364620326</v>
      </c>
      <c r="P46" s="51">
        <f t="shared" si="6"/>
        <v>0.50610841659783279</v>
      </c>
      <c r="Q46" s="50">
        <f t="shared" si="7"/>
        <v>0.29033515003323646</v>
      </c>
      <c r="R46" s="51">
        <f t="shared" si="15"/>
        <v>1.0553222999478613E-3</v>
      </c>
      <c r="S46" s="57">
        <f t="shared" si="8"/>
        <v>28.26970807017544</v>
      </c>
      <c r="T46" s="50">
        <f t="shared" si="9"/>
        <v>2.2615766456140354</v>
      </c>
      <c r="U46" s="50">
        <f t="shared" si="10"/>
        <v>2.2615766456140354</v>
      </c>
      <c r="V46" s="101">
        <f t="shared" si="11"/>
        <v>857.70364035087721</v>
      </c>
      <c r="W46" s="50">
        <f t="shared" si="12"/>
        <v>69.531323444601128</v>
      </c>
      <c r="X46" s="77"/>
      <c r="Y46" s="66"/>
      <c r="AA46" s="54">
        <f t="shared" si="13"/>
        <v>0.30468676555398877</v>
      </c>
      <c r="AB46" s="15"/>
    </row>
    <row r="47" spans="1:28" x14ac:dyDescent="0.25">
      <c r="A47" s="41">
        <v>35</v>
      </c>
      <c r="B47" s="42">
        <v>39601</v>
      </c>
      <c r="C47" s="43"/>
      <c r="D47" s="55">
        <v>400</v>
      </c>
      <c r="E47" s="56">
        <f t="shared" si="14"/>
        <v>20</v>
      </c>
      <c r="F47" s="67">
        <f>+'[1]Con 8hP4'!E67</f>
        <v>1.4912894736842104</v>
      </c>
      <c r="G47" s="47">
        <f t="shared" si="1"/>
        <v>29.825789473684207</v>
      </c>
      <c r="H47" s="47">
        <f>+F47/G85</f>
        <v>1.2089438678118396E-3</v>
      </c>
      <c r="I47" s="48">
        <f>+G47/G85</f>
        <v>2.4178877356236791E-2</v>
      </c>
      <c r="J47" s="49">
        <f t="shared" si="0"/>
        <v>9.6715509424947168</v>
      </c>
      <c r="K47" s="45">
        <f t="shared" si="16"/>
        <v>1.2089438678118396</v>
      </c>
      <c r="L47" s="51">
        <f t="shared" si="2"/>
        <v>1.400560224089636</v>
      </c>
      <c r="M47" s="132">
        <f t="shared" si="3"/>
        <v>0.35693860069033279</v>
      </c>
      <c r="N47" s="51">
        <f t="shared" si="4"/>
        <v>0.43560866659500563</v>
      </c>
      <c r="O47" s="52">
        <f t="shared" si="5"/>
        <v>0.31716850632106958</v>
      </c>
      <c r="P47" s="51">
        <f t="shared" si="6"/>
        <v>0.47241692214934539</v>
      </c>
      <c r="Q47" s="50">
        <f t="shared" si="7"/>
        <v>0.26806471146977662</v>
      </c>
      <c r="R47" s="51">
        <f t="shared" si="15"/>
        <v>7.8985681851876897E-3</v>
      </c>
      <c r="S47" s="57">
        <f t="shared" si="8"/>
        <v>31.257427368421048</v>
      </c>
      <c r="T47" s="50">
        <f t="shared" si="9"/>
        <v>2.5005941894736838</v>
      </c>
      <c r="U47" s="50">
        <f t="shared" si="10"/>
        <v>2.5005941894736838</v>
      </c>
      <c r="V47" s="101">
        <f t="shared" si="11"/>
        <v>887.52942982456136</v>
      </c>
      <c r="W47" s="50">
        <f t="shared" si="12"/>
        <v>71.949205936083771</v>
      </c>
      <c r="X47" s="71"/>
      <c r="AA47" s="54">
        <f t="shared" si="13"/>
        <v>0.28050794063916229</v>
      </c>
      <c r="AB47" s="15"/>
    </row>
    <row r="48" spans="1:28" x14ac:dyDescent="0.25">
      <c r="A48" s="41">
        <v>36</v>
      </c>
      <c r="B48" s="42">
        <v>39601</v>
      </c>
      <c r="C48" s="43"/>
      <c r="D48" s="55">
        <v>420</v>
      </c>
      <c r="E48" s="56">
        <f t="shared" si="14"/>
        <v>20</v>
      </c>
      <c r="F48" s="67">
        <f>+'[1]Con 8hP4'!E68</f>
        <v>1.2610263157894737</v>
      </c>
      <c r="G48" s="47">
        <f t="shared" si="1"/>
        <v>25.220526315789474</v>
      </c>
      <c r="H48" s="47">
        <f>+F48/G85</f>
        <v>1.0222763980602366E-3</v>
      </c>
      <c r="I48" s="48">
        <f>+G48/G85</f>
        <v>2.0445527961204732E-2</v>
      </c>
      <c r="J48" s="49">
        <f t="shared" si="0"/>
        <v>8.5871217437059872</v>
      </c>
      <c r="K48" s="45">
        <f t="shared" si="16"/>
        <v>1.0222763980602365</v>
      </c>
      <c r="L48" s="51">
        <f t="shared" si="2"/>
        <v>1.4705882352941178</v>
      </c>
      <c r="M48" s="132">
        <f t="shared" si="3"/>
        <v>0.30182535083520196</v>
      </c>
      <c r="N48" s="51">
        <f t="shared" si="4"/>
        <v>0.41584704098324304</v>
      </c>
      <c r="O48" s="52">
        <f t="shared" si="5"/>
        <v>0.31039137261571775</v>
      </c>
      <c r="P48" s="51">
        <f t="shared" si="6"/>
        <v>0.43941973885823854</v>
      </c>
      <c r="Q48" s="50">
        <f t="shared" si="7"/>
        <v>0.24717936439071256</v>
      </c>
      <c r="R48" s="51">
        <f t="shared" si="15"/>
        <v>2.9861838344913188E-3</v>
      </c>
      <c r="S48" s="57">
        <f t="shared" si="8"/>
        <v>26.43111157894737</v>
      </c>
      <c r="T48" s="50">
        <f t="shared" si="9"/>
        <v>2.1144889263157896</v>
      </c>
      <c r="U48" s="50">
        <f t="shared" si="10"/>
        <v>2.1144889263157896</v>
      </c>
      <c r="V48" s="101">
        <f t="shared" si="11"/>
        <v>912.74995614035083</v>
      </c>
      <c r="W48" s="50">
        <f t="shared" si="12"/>
        <v>73.993754297786936</v>
      </c>
      <c r="X48" s="71"/>
      <c r="AA48" s="54">
        <f t="shared" si="13"/>
        <v>0.2600624570221306</v>
      </c>
      <c r="AB48" s="15"/>
    </row>
    <row r="49" spans="1:28" x14ac:dyDescent="0.25">
      <c r="A49" s="41">
        <v>37</v>
      </c>
      <c r="B49" s="42">
        <v>39601</v>
      </c>
      <c r="C49" s="43"/>
      <c r="D49" s="55">
        <v>440</v>
      </c>
      <c r="E49" s="56">
        <f t="shared" si="14"/>
        <v>20</v>
      </c>
      <c r="F49" s="67">
        <f>+'[1]Con 8hP4'!E69</f>
        <v>1.0197982456140351</v>
      </c>
      <c r="G49" s="47">
        <f t="shared" si="1"/>
        <v>20.395964912280704</v>
      </c>
      <c r="H49" s="47">
        <f>+F49/G85</f>
        <v>8.2672000117760475E-4</v>
      </c>
      <c r="I49" s="48">
        <f>+G49/G85</f>
        <v>1.6534400023552099E-2</v>
      </c>
      <c r="J49" s="49">
        <f t="shared" si="0"/>
        <v>7.2751360103629237</v>
      </c>
      <c r="K49" s="45">
        <f t="shared" si="16"/>
        <v>0.8267200011776048</v>
      </c>
      <c r="L49" s="51">
        <f t="shared" si="2"/>
        <v>1.5406162464985995</v>
      </c>
      <c r="M49" s="132">
        <f t="shared" si="3"/>
        <v>0.2440876605107791</v>
      </c>
      <c r="N49" s="51">
        <f t="shared" si="4"/>
        <v>0.39402982547538684</v>
      </c>
      <c r="O49" s="52">
        <f t="shared" si="5"/>
        <v>0.30270606365844249</v>
      </c>
      <c r="P49" s="51">
        <f t="shared" si="6"/>
        <v>0.40750952885465852</v>
      </c>
      <c r="Q49" s="50">
        <f t="shared" si="7"/>
        <v>0.22765129716310667</v>
      </c>
      <c r="R49" s="51">
        <f t="shared" si="15"/>
        <v>2.7015404009670958E-4</v>
      </c>
      <c r="S49" s="57">
        <f t="shared" si="8"/>
        <v>21.374971228070176</v>
      </c>
      <c r="T49" s="50">
        <f t="shared" si="9"/>
        <v>1.709997698245614</v>
      </c>
      <c r="U49" s="50">
        <f t="shared" si="10"/>
        <v>1.709997698245614</v>
      </c>
      <c r="V49" s="101">
        <f t="shared" si="11"/>
        <v>933.14592105263159</v>
      </c>
      <c r="W49" s="50">
        <f t="shared" si="12"/>
        <v>75.647190714006868</v>
      </c>
      <c r="X49" s="19"/>
      <c r="Y49" s="3"/>
      <c r="AA49" s="54">
        <f t="shared" si="13"/>
        <v>0.24352809285993127</v>
      </c>
      <c r="AB49" s="15"/>
    </row>
    <row r="50" spans="1:28" x14ac:dyDescent="0.25">
      <c r="A50" s="41">
        <v>38</v>
      </c>
      <c r="B50" s="42">
        <v>39601</v>
      </c>
      <c r="C50" s="43"/>
      <c r="D50" s="55">
        <v>460</v>
      </c>
      <c r="E50" s="56">
        <f t="shared" si="14"/>
        <v>20</v>
      </c>
      <c r="F50" s="67">
        <f>+'[1]Con 8hP4'!E70</f>
        <v>0.94304385964912274</v>
      </c>
      <c r="G50" s="47">
        <f t="shared" si="1"/>
        <v>18.860877192982453</v>
      </c>
      <c r="H50" s="47">
        <f>+F50/G85</f>
        <v>7.6449751126040375E-4</v>
      </c>
      <c r="I50" s="48">
        <f>+G50/G85</f>
        <v>1.5289950225208073E-2</v>
      </c>
      <c r="J50" s="49">
        <f t="shared" si="0"/>
        <v>7.0333771035957131</v>
      </c>
      <c r="K50" s="45">
        <f t="shared" si="16"/>
        <v>0.76449751126040377</v>
      </c>
      <c r="L50" s="51">
        <f t="shared" si="2"/>
        <v>1.6106442577030815</v>
      </c>
      <c r="M50" s="132">
        <f t="shared" si="3"/>
        <v>0.22571657722573546</v>
      </c>
      <c r="N50" s="51">
        <f t="shared" si="4"/>
        <v>0.37058083361704058</v>
      </c>
      <c r="O50" s="52">
        <f t="shared" si="5"/>
        <v>0.29418768881741414</v>
      </c>
      <c r="P50" s="51">
        <f t="shared" si="6"/>
        <v>0.37695504075513403</v>
      </c>
      <c r="Q50" s="50">
        <f t="shared" si="7"/>
        <v>0.20943977897192972</v>
      </c>
      <c r="R50" s="51">
        <f t="shared" si="15"/>
        <v>2.6493416139509345E-4</v>
      </c>
      <c r="S50" s="57">
        <f t="shared" si="8"/>
        <v>19.766199298245613</v>
      </c>
      <c r="T50" s="50">
        <f t="shared" si="9"/>
        <v>1.581295943859649</v>
      </c>
      <c r="U50" s="50">
        <f t="shared" si="10"/>
        <v>1.581295943859649</v>
      </c>
      <c r="V50" s="101">
        <f t="shared" si="11"/>
        <v>952.00679824561405</v>
      </c>
      <c r="W50" s="50">
        <f t="shared" si="12"/>
        <v>77.176182420300279</v>
      </c>
      <c r="X50" s="19"/>
      <c r="Y50" s="3"/>
      <c r="AA50" s="54">
        <f t="shared" si="13"/>
        <v>0.22823817579699723</v>
      </c>
      <c r="AB50" s="15"/>
    </row>
    <row r="51" spans="1:28" x14ac:dyDescent="0.25">
      <c r="A51" s="41">
        <v>39</v>
      </c>
      <c r="B51" s="42">
        <v>39601</v>
      </c>
      <c r="C51" s="43"/>
      <c r="D51" s="55">
        <v>480</v>
      </c>
      <c r="E51" s="56">
        <f t="shared" si="14"/>
        <v>20</v>
      </c>
      <c r="F51" s="67">
        <f>+'[1]Con 8hP4'!E71</f>
        <v>0.86628947368421039</v>
      </c>
      <c r="G51" s="47">
        <f t="shared" si="1"/>
        <v>17.325789473684207</v>
      </c>
      <c r="H51" s="47">
        <f>+F51/G85</f>
        <v>7.0227502134320263E-4</v>
      </c>
      <c r="I51" s="48">
        <f>+G51/G85</f>
        <v>1.4045500426864052E-2</v>
      </c>
      <c r="J51" s="49">
        <f t="shared" si="0"/>
        <v>6.7418402048947446</v>
      </c>
      <c r="K51" s="45">
        <f t="shared" si="16"/>
        <v>0.70227502134320263</v>
      </c>
      <c r="L51" s="51">
        <f t="shared" si="2"/>
        <v>1.6806722689075633</v>
      </c>
      <c r="M51" s="132">
        <f t="shared" si="3"/>
        <v>0.20734549394069182</v>
      </c>
      <c r="N51" s="51">
        <f t="shared" si="4"/>
        <v>0.34593554511487307</v>
      </c>
      <c r="O51" s="52">
        <f t="shared" si="5"/>
        <v>0.28491791842888803</v>
      </c>
      <c r="P51" s="51">
        <f t="shared" si="6"/>
        <v>0.34792939618889052</v>
      </c>
      <c r="Q51" s="50">
        <f t="shared" si="7"/>
        <v>0.1924949139819073</v>
      </c>
      <c r="R51" s="51">
        <f t="shared" si="15"/>
        <v>2.2053972511225264E-4</v>
      </c>
      <c r="S51" s="57">
        <f t="shared" si="8"/>
        <v>18.15742736842105</v>
      </c>
      <c r="T51" s="50">
        <f t="shared" si="9"/>
        <v>1.452594189473684</v>
      </c>
      <c r="U51" s="50">
        <f t="shared" si="10"/>
        <v>1.452594189473684</v>
      </c>
      <c r="V51" s="101">
        <f t="shared" si="11"/>
        <v>969.3325877192982</v>
      </c>
      <c r="W51" s="50">
        <f t="shared" si="12"/>
        <v>78.580729416667197</v>
      </c>
      <c r="X51" s="77"/>
      <c r="Y51" s="105"/>
      <c r="AA51" s="54">
        <f t="shared" si="13"/>
        <v>0.21419270583332806</v>
      </c>
      <c r="AB51" s="15"/>
    </row>
    <row r="52" spans="1:28" x14ac:dyDescent="0.25">
      <c r="A52" s="41">
        <v>40</v>
      </c>
      <c r="B52" s="42">
        <v>39601</v>
      </c>
      <c r="C52" s="43"/>
      <c r="D52" s="55">
        <v>510</v>
      </c>
      <c r="E52" s="56">
        <f>+D52-D51</f>
        <v>30</v>
      </c>
      <c r="F52" s="67">
        <f>+'[1]Con 8hP4'!E72</f>
        <v>0.81146491228070172</v>
      </c>
      <c r="G52" s="47">
        <f t="shared" si="1"/>
        <v>24.343947368421052</v>
      </c>
      <c r="H52" s="47">
        <f>+F52/G85</f>
        <v>6.5783038568805905E-4</v>
      </c>
      <c r="I52" s="48">
        <f>+G52/G85</f>
        <v>1.9734911570641771E-2</v>
      </c>
      <c r="J52" s="49">
        <f t="shared" si="0"/>
        <v>10.064804901027303</v>
      </c>
      <c r="K52" s="45">
        <f t="shared" si="16"/>
        <v>0.65783038568805907</v>
      </c>
      <c r="L52" s="51">
        <f t="shared" si="2"/>
        <v>1.785714285714286</v>
      </c>
      <c r="M52" s="132">
        <f t="shared" si="3"/>
        <v>0.1942232915942321</v>
      </c>
      <c r="N52" s="51">
        <f t="shared" si="4"/>
        <v>0.30767024445886804</v>
      </c>
      <c r="O52" s="52">
        <f t="shared" si="5"/>
        <v>0.269795665324915</v>
      </c>
      <c r="P52" s="51">
        <f t="shared" si="6"/>
        <v>0.30746082757503845</v>
      </c>
      <c r="Q52" s="50">
        <f t="shared" si="7"/>
        <v>0.16932870663474625</v>
      </c>
      <c r="R52" s="51">
        <f t="shared" si="15"/>
        <v>6.1974036030505904E-4</v>
      </c>
      <c r="S52" s="57">
        <f t="shared" si="8"/>
        <v>25.512456842105262</v>
      </c>
      <c r="T52" s="50">
        <f t="shared" si="9"/>
        <v>2.0409965473684211</v>
      </c>
      <c r="U52" s="50">
        <f t="shared" si="10"/>
        <v>2.0409965473684211</v>
      </c>
      <c r="V52" s="101">
        <f t="shared" si="11"/>
        <v>993.67653508771923</v>
      </c>
      <c r="W52" s="50">
        <f t="shared" si="12"/>
        <v>80.554216293439197</v>
      </c>
      <c r="X52" s="19"/>
      <c r="AA52" s="54">
        <f t="shared" si="13"/>
        <v>0.19445783706560804</v>
      </c>
      <c r="AB52" s="15"/>
    </row>
    <row r="53" spans="1:28" x14ac:dyDescent="0.25">
      <c r="A53" s="41">
        <v>41</v>
      </c>
      <c r="B53" s="42">
        <v>39601</v>
      </c>
      <c r="C53" s="43"/>
      <c r="D53" s="55">
        <v>540</v>
      </c>
      <c r="E53" s="56">
        <f t="shared" si="14"/>
        <v>30</v>
      </c>
      <c r="F53" s="67">
        <f>+'[1]Con 8hP4'!E73</f>
        <v>0.77857017543859641</v>
      </c>
      <c r="G53" s="47">
        <f t="shared" si="1"/>
        <v>23.357105263157891</v>
      </c>
      <c r="H53" s="47">
        <f>+F53/G85</f>
        <v>6.3116360429497291E-4</v>
      </c>
      <c r="I53" s="48">
        <f>+G53/G85</f>
        <v>1.8934908128849185E-2</v>
      </c>
      <c r="J53" s="49">
        <f t="shared" si="0"/>
        <v>10.22485038957856</v>
      </c>
      <c r="K53" s="45">
        <f t="shared" si="16"/>
        <v>0.63116360429497287</v>
      </c>
      <c r="L53" s="51">
        <f t="shared" si="2"/>
        <v>1.8907563025210086</v>
      </c>
      <c r="M53" s="132">
        <f t="shared" si="3"/>
        <v>0.18634997018635624</v>
      </c>
      <c r="N53" s="51">
        <f t="shared" si="4"/>
        <v>0.26908045458969326</v>
      </c>
      <c r="O53" s="52">
        <f t="shared" si="5"/>
        <v>0.25348772615723342</v>
      </c>
      <c r="P53" s="51">
        <f t="shared" si="6"/>
        <v>0.27076370042327969</v>
      </c>
      <c r="Q53" s="50">
        <f t="shared" si="7"/>
        <v>0.14868122401752584</v>
      </c>
      <c r="R53" s="51">
        <f t="shared" si="15"/>
        <v>1.4189344379317748E-3</v>
      </c>
      <c r="S53" s="57">
        <f t="shared" si="8"/>
        <v>24.478246315789473</v>
      </c>
      <c r="T53" s="50">
        <f t="shared" si="9"/>
        <v>1.9582597052631581</v>
      </c>
      <c r="U53" s="50">
        <f t="shared" si="10"/>
        <v>1.9582597052631581</v>
      </c>
      <c r="V53" s="101">
        <f t="shared" si="11"/>
        <v>1017.0336403508771</v>
      </c>
      <c r="W53" s="50">
        <f t="shared" si="12"/>
        <v>82.447702999544177</v>
      </c>
      <c r="X53" s="77"/>
      <c r="Y53" s="66"/>
      <c r="AA53" s="54">
        <f t="shared" si="13"/>
        <v>0.17552297000455819</v>
      </c>
      <c r="AB53" s="15"/>
    </row>
    <row r="54" spans="1:28" x14ac:dyDescent="0.25">
      <c r="A54" s="41">
        <v>42</v>
      </c>
      <c r="B54" s="42">
        <v>39601</v>
      </c>
      <c r="C54" s="43"/>
      <c r="D54" s="55">
        <v>570</v>
      </c>
      <c r="E54" s="56">
        <f t="shared" si="14"/>
        <v>30</v>
      </c>
      <c r="F54" s="67">
        <f>+'[1]Con 8hP4'!E74</f>
        <v>0.63602631578947366</v>
      </c>
      <c r="G54" s="47">
        <f t="shared" si="1"/>
        <v>19.080789473684209</v>
      </c>
      <c r="H54" s="47">
        <f>+F54/G85</f>
        <v>5.156075515915995E-4</v>
      </c>
      <c r="I54" s="48">
        <f>+G54/G85</f>
        <v>1.5468226547747986E-2</v>
      </c>
      <c r="J54" s="49">
        <f t="shared" si="0"/>
        <v>8.8168891322163514</v>
      </c>
      <c r="K54" s="45">
        <f t="shared" si="16"/>
        <v>0.51560755159159954</v>
      </c>
      <c r="L54" s="51">
        <f t="shared" si="2"/>
        <v>1.9957983193277313</v>
      </c>
      <c r="M54" s="132">
        <f t="shared" si="3"/>
        <v>0.15223224408556096</v>
      </c>
      <c r="N54" s="51">
        <f t="shared" si="4"/>
        <v>0.23141161684955788</v>
      </c>
      <c r="O54" s="52">
        <f t="shared" si="5"/>
        <v>0.2363119405187375</v>
      </c>
      <c r="P54" s="51">
        <f t="shared" si="6"/>
        <v>0.23777544875103468</v>
      </c>
      <c r="Q54" s="50">
        <f t="shared" si="7"/>
        <v>0.13034095109152766</v>
      </c>
      <c r="R54" s="51">
        <f t="shared" si="15"/>
        <v>4.7922870895061176E-4</v>
      </c>
      <c r="S54" s="57">
        <f t="shared" si="8"/>
        <v>19.996667368421051</v>
      </c>
      <c r="T54" s="50">
        <f t="shared" si="9"/>
        <v>1.5997333894736838</v>
      </c>
      <c r="U54" s="50">
        <f t="shared" si="10"/>
        <v>1.5997333894736838</v>
      </c>
      <c r="V54" s="101">
        <f t="shared" si="11"/>
        <v>1036.1144298245613</v>
      </c>
      <c r="W54" s="50">
        <f t="shared" si="12"/>
        <v>83.994522299425341</v>
      </c>
      <c r="X54" s="19"/>
      <c r="AA54" s="54">
        <f t="shared" si="13"/>
        <v>0.16005477700574655</v>
      </c>
      <c r="AB54" s="15"/>
    </row>
    <row r="55" spans="1:28" x14ac:dyDescent="0.25">
      <c r="A55" s="41">
        <v>43</v>
      </c>
      <c r="B55" s="42">
        <v>39601</v>
      </c>
      <c r="C55" s="43"/>
      <c r="D55" s="55">
        <v>600</v>
      </c>
      <c r="E55" s="56">
        <f t="shared" si="14"/>
        <v>30</v>
      </c>
      <c r="F55" s="67">
        <f>+'[1]Con 8hP4'!E75</f>
        <v>0.57023684210526304</v>
      </c>
      <c r="G55" s="47">
        <f t="shared" si="1"/>
        <v>17.107105263157891</v>
      </c>
      <c r="H55" s="47">
        <f>+F55/G85</f>
        <v>4.6227398880542716E-4</v>
      </c>
      <c r="I55" s="48">
        <f>+G55/G85</f>
        <v>1.3868219664162814E-2</v>
      </c>
      <c r="J55" s="49">
        <f t="shared" si="0"/>
        <v>8.3209317984976892</v>
      </c>
      <c r="K55" s="45">
        <f t="shared" si="16"/>
        <v>0.46227398880542714</v>
      </c>
      <c r="L55" s="51">
        <f t="shared" si="2"/>
        <v>2.1008403361344539</v>
      </c>
      <c r="M55" s="132">
        <f t="shared" si="3"/>
        <v>0.13648560126980924</v>
      </c>
      <c r="N55" s="51">
        <f t="shared" si="4"/>
        <v>0.19570165960314409</v>
      </c>
      <c r="O55" s="52">
        <f t="shared" si="5"/>
        <v>0.21858540477272231</v>
      </c>
      <c r="P55" s="51">
        <f t="shared" si="6"/>
        <v>0.20832188881026997</v>
      </c>
      <c r="Q55" s="50">
        <f t="shared" si="7"/>
        <v>0.11409767365071116</v>
      </c>
      <c r="R55" s="51">
        <f t="shared" si="15"/>
        <v>5.0121930307797462E-4</v>
      </c>
      <c r="S55" s="57">
        <f t="shared" si="8"/>
        <v>17.928246315789472</v>
      </c>
      <c r="T55" s="50">
        <f t="shared" si="9"/>
        <v>1.4342597052631578</v>
      </c>
      <c r="U55" s="50">
        <f t="shared" si="10"/>
        <v>1.4342597052631578</v>
      </c>
      <c r="V55" s="101">
        <f t="shared" si="11"/>
        <v>1053.2215350877191</v>
      </c>
      <c r="W55" s="50">
        <f t="shared" si="12"/>
        <v>85.381341257972437</v>
      </c>
      <c r="X55" s="19"/>
      <c r="AA55" s="54">
        <f t="shared" si="13"/>
        <v>0.14618658742027568</v>
      </c>
      <c r="AB55" s="15"/>
    </row>
    <row r="56" spans="1:28" x14ac:dyDescent="0.25">
      <c r="A56" s="41">
        <v>44</v>
      </c>
      <c r="B56" s="42">
        <v>39601</v>
      </c>
      <c r="C56" s="43"/>
      <c r="D56" s="55">
        <v>630</v>
      </c>
      <c r="E56" s="56">
        <f>+D56-D55</f>
        <v>30</v>
      </c>
      <c r="F56" s="67">
        <f>+'[1]Con 8hP4'!E76</f>
        <v>0.55927192982456142</v>
      </c>
      <c r="G56" s="47">
        <f t="shared" si="1"/>
        <v>16.778157894736843</v>
      </c>
      <c r="H56" s="47">
        <f>+F56/G85</f>
        <v>4.5338506167439855E-4</v>
      </c>
      <c r="I56" s="48">
        <f>+G56/G85</f>
        <v>1.3601551850231956E-2</v>
      </c>
      <c r="J56" s="49">
        <f t="shared" si="0"/>
        <v>8.5689776656461323</v>
      </c>
      <c r="K56" s="45">
        <f t="shared" si="16"/>
        <v>0.45338506167439857</v>
      </c>
      <c r="L56" s="51">
        <f t="shared" si="2"/>
        <v>2.2058823529411766</v>
      </c>
      <c r="M56" s="132">
        <f t="shared" si="3"/>
        <v>0.13386116080051733</v>
      </c>
      <c r="N56" s="51">
        <f t="shared" si="4"/>
        <v>0.16274595697149188</v>
      </c>
      <c r="O56" s="52">
        <f t="shared" si="5"/>
        <v>0.20061500676122451</v>
      </c>
      <c r="P56" s="51">
        <f t="shared" si="6"/>
        <v>0.18216522235132249</v>
      </c>
      <c r="Q56" s="50">
        <f t="shared" si="7"/>
        <v>9.9748237265387688E-2</v>
      </c>
      <c r="R56" s="51">
        <f t="shared" si="15"/>
        <v>1.1636915521136015E-3</v>
      </c>
      <c r="S56" s="57">
        <f t="shared" si="8"/>
        <v>17.583509473684213</v>
      </c>
      <c r="T56" s="50">
        <f t="shared" si="9"/>
        <v>1.4066807578947369</v>
      </c>
      <c r="U56" s="50">
        <f t="shared" si="10"/>
        <v>1.4066807578947369</v>
      </c>
      <c r="V56" s="101">
        <f t="shared" si="11"/>
        <v>1069.9996929824558</v>
      </c>
      <c r="W56" s="50">
        <f t="shared" si="12"/>
        <v>86.741493492963869</v>
      </c>
      <c r="X56" s="19"/>
      <c r="AA56" s="54">
        <f t="shared" si="13"/>
        <v>0.13258506507036127</v>
      </c>
      <c r="AB56" s="15"/>
    </row>
    <row r="57" spans="1:28" x14ac:dyDescent="0.25">
      <c r="A57" s="41">
        <v>45</v>
      </c>
      <c r="B57" s="42">
        <v>39601</v>
      </c>
      <c r="C57" s="43"/>
      <c r="D57" s="55">
        <v>660</v>
      </c>
      <c r="E57" s="56">
        <f t="shared" si="14"/>
        <v>30</v>
      </c>
      <c r="F57" s="67">
        <f>+'[1]Con 8hP4'!E77</f>
        <v>0.65795614035087713</v>
      </c>
      <c r="G57" s="47">
        <f t="shared" si="1"/>
        <v>19.738684210526316</v>
      </c>
      <c r="H57" s="47">
        <f>+F57/G85</f>
        <v>5.3338540585365693E-4</v>
      </c>
      <c r="I57" s="48">
        <f>+G57/G85</f>
        <v>1.6001562175609711E-2</v>
      </c>
      <c r="J57" s="49">
        <f t="shared" si="0"/>
        <v>10.56103103590241</v>
      </c>
      <c r="K57" s="45">
        <f t="shared" si="16"/>
        <v>0.5333854058536569</v>
      </c>
      <c r="L57" s="51">
        <f t="shared" si="2"/>
        <v>2.3109243697478994</v>
      </c>
      <c r="M57" s="132">
        <f t="shared" si="3"/>
        <v>0.15748112502414485</v>
      </c>
      <c r="N57" s="51">
        <f t="shared" si="4"/>
        <v>0.13308596440027617</v>
      </c>
      <c r="O57" s="52">
        <f t="shared" si="5"/>
        <v>0.18268901585167802</v>
      </c>
      <c r="P57" s="51">
        <f t="shared" si="6"/>
        <v>0.15903635421831963</v>
      </c>
      <c r="Q57" s="50">
        <f t="shared" si="7"/>
        <v>8.7100174096700844E-2</v>
      </c>
      <c r="R57" s="51">
        <f t="shared" si="15"/>
        <v>4.9534782534512815E-3</v>
      </c>
      <c r="S57" s="57">
        <f t="shared" si="8"/>
        <v>20.686141052631577</v>
      </c>
      <c r="T57" s="50">
        <f t="shared" si="9"/>
        <v>1.6548912842105263</v>
      </c>
      <c r="U57" s="50">
        <f t="shared" si="10"/>
        <v>1.6548912842105263</v>
      </c>
      <c r="V57" s="101">
        <f t="shared" si="11"/>
        <v>1089.7383771929822</v>
      </c>
      <c r="W57" s="50">
        <f t="shared" si="12"/>
        <v>88.341646239956404</v>
      </c>
      <c r="X57" s="19"/>
      <c r="AA57" s="54">
        <f t="shared" si="13"/>
        <v>0.11658353760043594</v>
      </c>
      <c r="AB57" s="15"/>
    </row>
    <row r="58" spans="1:28" x14ac:dyDescent="0.25">
      <c r="A58" s="41">
        <v>46</v>
      </c>
      <c r="B58" s="42">
        <v>39601</v>
      </c>
      <c r="C58" s="43"/>
      <c r="D58" s="55">
        <v>690</v>
      </c>
      <c r="E58" s="56">
        <f t="shared" si="14"/>
        <v>30</v>
      </c>
      <c r="F58" s="67">
        <f>+'[1]Con 8hP4'!E78</f>
        <v>0.61409649122807008</v>
      </c>
      <c r="G58" s="47">
        <f t="shared" si="1"/>
        <v>18.422894736842103</v>
      </c>
      <c r="H58" s="47">
        <f>+F58/G85</f>
        <v>4.9782969732954207E-4</v>
      </c>
      <c r="I58" s="48">
        <f>+G58/G85</f>
        <v>1.4934890919886262E-2</v>
      </c>
      <c r="J58" s="49">
        <f t="shared" si="0"/>
        <v>10.30507473472152</v>
      </c>
      <c r="K58" s="45">
        <f t="shared" si="16"/>
        <v>0.49782969732954208</v>
      </c>
      <c r="L58" s="51">
        <f t="shared" si="2"/>
        <v>2.4159663865546221</v>
      </c>
      <c r="M58" s="132">
        <f t="shared" si="3"/>
        <v>0.14698336314697705</v>
      </c>
      <c r="N58" s="51">
        <f t="shared" si="4"/>
        <v>0.10701894160573143</v>
      </c>
      <c r="O58" s="52">
        <f t="shared" si="5"/>
        <v>0.16507002559496178</v>
      </c>
      <c r="P58" s="51">
        <f t="shared" si="6"/>
        <v>0.13865624868909218</v>
      </c>
      <c r="Q58" s="50">
        <f t="shared" si="7"/>
        <v>7.5973815889450791E-2</v>
      </c>
      <c r="R58" s="51">
        <f t="shared" si="15"/>
        <v>5.0423558017188546E-3</v>
      </c>
      <c r="S58" s="57">
        <f t="shared" si="8"/>
        <v>19.307193684210525</v>
      </c>
      <c r="T58" s="50">
        <f t="shared" si="9"/>
        <v>1.544575494736842</v>
      </c>
      <c r="U58" s="50">
        <f t="shared" si="10"/>
        <v>1.544575494736842</v>
      </c>
      <c r="V58" s="101">
        <f t="shared" si="11"/>
        <v>1108.1612719298244</v>
      </c>
      <c r="W58" s="50">
        <f t="shared" si="12"/>
        <v>89.835132092726226</v>
      </c>
      <c r="AA58" s="54">
        <f t="shared" si="13"/>
        <v>0.10164867907273778</v>
      </c>
      <c r="AB58" s="15"/>
    </row>
    <row r="59" spans="1:28" x14ac:dyDescent="0.25">
      <c r="A59" s="41">
        <v>47</v>
      </c>
      <c r="B59" s="42">
        <v>39601</v>
      </c>
      <c r="C59" s="43"/>
      <c r="D59" s="55">
        <v>720</v>
      </c>
      <c r="E59" s="56">
        <f t="shared" si="14"/>
        <v>30</v>
      </c>
      <c r="F59" s="67">
        <f>+'[1]Con 8hP4'!E79</f>
        <v>0.62506140350877193</v>
      </c>
      <c r="G59" s="47">
        <f t="shared" si="1"/>
        <v>18.751842105263158</v>
      </c>
      <c r="H59" s="47">
        <f>+F59/G85</f>
        <v>5.067186244605709E-4</v>
      </c>
      <c r="I59" s="48">
        <f>+G59/G85</f>
        <v>1.5201558733817126E-2</v>
      </c>
      <c r="J59" s="49">
        <f t="shared" si="0"/>
        <v>10.94512228834833</v>
      </c>
      <c r="K59" s="45">
        <f t="shared" si="16"/>
        <v>0.50671862446057092</v>
      </c>
      <c r="L59" s="51">
        <f t="shared" si="2"/>
        <v>2.5210084033613449</v>
      </c>
      <c r="M59" s="132">
        <f t="shared" si="3"/>
        <v>0.14960780361626902</v>
      </c>
      <c r="N59" s="51">
        <f t="shared" si="4"/>
        <v>8.4624359571063554E-2</v>
      </c>
      <c r="O59" s="52">
        <f t="shared" si="5"/>
        <v>0.14798945264394348</v>
      </c>
      <c r="P59" s="51">
        <f t="shared" si="6"/>
        <v>0.12074967219214133</v>
      </c>
      <c r="Q59" s="50">
        <f t="shared" si="7"/>
        <v>6.6203340493674961E-2</v>
      </c>
      <c r="R59" s="51">
        <f t="shared" si="15"/>
        <v>6.9563044687681519E-3</v>
      </c>
      <c r="S59" s="57">
        <f t="shared" si="8"/>
        <v>19.651930526315791</v>
      </c>
      <c r="T59" s="50">
        <f t="shared" si="9"/>
        <v>1.5721544421052633</v>
      </c>
      <c r="U59" s="50">
        <f t="shared" si="10"/>
        <v>1.5721544421052633</v>
      </c>
      <c r="V59" s="101">
        <f t="shared" si="11"/>
        <v>1126.9131140350876</v>
      </c>
      <c r="W59" s="50">
        <f t="shared" si="12"/>
        <v>91.355284669051727</v>
      </c>
      <c r="X59" s="77">
        <f>+(((90-W58)*(D59-D58))/(W59-W58))+D58</f>
        <v>693.25364525590498</v>
      </c>
      <c r="Y59" s="66" t="s">
        <v>79</v>
      </c>
      <c r="AA59" s="54">
        <f t="shared" si="13"/>
        <v>8.6447153309482716E-2</v>
      </c>
      <c r="AB59" s="15"/>
    </row>
    <row r="60" spans="1:28" x14ac:dyDescent="0.25">
      <c r="A60" s="41">
        <v>48</v>
      </c>
      <c r="B60" s="42">
        <v>39601</v>
      </c>
      <c r="C60" s="43"/>
      <c r="D60" s="55">
        <v>780</v>
      </c>
      <c r="E60" s="56">
        <f t="shared" si="14"/>
        <v>60</v>
      </c>
      <c r="F60" s="67">
        <f>+'[1]Con 8hP4'!E80</f>
        <v>0.39479824561403498</v>
      </c>
      <c r="G60" s="47">
        <f t="shared" si="1"/>
        <v>23.6878947368421</v>
      </c>
      <c r="H60" s="47">
        <f>+F60/G85</f>
        <v>3.200511547089676E-4</v>
      </c>
      <c r="I60" s="48">
        <f>+G60/G85</f>
        <v>1.9203069282538059E-2</v>
      </c>
      <c r="J60" s="49">
        <f t="shared" si="0"/>
        <v>14.978394040379685</v>
      </c>
      <c r="K60" s="45">
        <f t="shared" si="16"/>
        <v>0.32005115470896761</v>
      </c>
      <c r="L60" s="51">
        <f t="shared" si="2"/>
        <v>2.7310924369747904</v>
      </c>
      <c r="M60" s="132">
        <f t="shared" si="3"/>
        <v>9.4494553761138106E-2</v>
      </c>
      <c r="N60" s="51">
        <f t="shared" si="4"/>
        <v>5.031343001992751E-2</v>
      </c>
      <c r="O60" s="52">
        <f t="shared" si="5"/>
        <v>0.11619197749698373</v>
      </c>
      <c r="P60" s="51">
        <f t="shared" si="6"/>
        <v>9.1322533722130311E-2</v>
      </c>
      <c r="Q60" s="50">
        <f t="shared" si="7"/>
        <v>5.0137303734590868E-2</v>
      </c>
      <c r="R60" s="51">
        <f t="shared" si="15"/>
        <v>1.9675656299176247E-3</v>
      </c>
      <c r="S60" s="57">
        <f t="shared" si="8"/>
        <v>24.824913684210522</v>
      </c>
      <c r="T60" s="50">
        <f t="shared" si="9"/>
        <v>1.9859930947368418</v>
      </c>
      <c r="U60" s="50">
        <f t="shared" si="10"/>
        <v>1.9859930947368418</v>
      </c>
      <c r="V60" s="101">
        <f t="shared" si="11"/>
        <v>1150.6010087719296</v>
      </c>
      <c r="W60" s="50">
        <f t="shared" si="12"/>
        <v>93.27558743236429</v>
      </c>
      <c r="AA60" s="54">
        <f t="shared" si="13"/>
        <v>6.7244125676357069E-2</v>
      </c>
      <c r="AB60" s="15"/>
    </row>
    <row r="61" spans="1:28" x14ac:dyDescent="0.25">
      <c r="A61" s="41">
        <v>49</v>
      </c>
      <c r="B61" s="42">
        <v>39601</v>
      </c>
      <c r="C61" s="43"/>
      <c r="D61" s="55">
        <v>840</v>
      </c>
      <c r="E61" s="56">
        <f t="shared" si="14"/>
        <v>60</v>
      </c>
      <c r="F61" s="136">
        <f>+'[1]Con 8hP4'!E81</f>
        <v>0.32900877192982453</v>
      </c>
      <c r="G61" s="47">
        <f t="shared" si="1"/>
        <v>19.74052631578947</v>
      </c>
      <c r="H61" s="47">
        <f>+F61/G85</f>
        <v>2.6671759192279537E-4</v>
      </c>
      <c r="I61" s="48">
        <f>+G61/G85</f>
        <v>1.6003055515367719E-2</v>
      </c>
      <c r="J61" s="49">
        <f t="shared" si="0"/>
        <v>13.442566632908884</v>
      </c>
      <c r="K61" s="45">
        <f t="shared" si="16"/>
        <v>0.26671759192279537</v>
      </c>
      <c r="L61" s="51">
        <f t="shared" si="2"/>
        <v>2.9411764705882355</v>
      </c>
      <c r="M61" s="132">
        <f t="shared" si="3"/>
        <v>7.874791094538644E-2</v>
      </c>
      <c r="N61" s="51">
        <f t="shared" si="4"/>
        <v>2.7970346568413573E-2</v>
      </c>
      <c r="O61" s="52">
        <f t="shared" si="5"/>
        <v>8.8419605711138105E-2</v>
      </c>
      <c r="P61" s="51">
        <f t="shared" si="6"/>
        <v>6.8870921921384692E-2</v>
      </c>
      <c r="Q61" s="50">
        <f t="shared" si="7"/>
        <v>3.7852679835743537E-2</v>
      </c>
      <c r="R61" s="51">
        <f t="shared" si="15"/>
        <v>1.6724199275111047E-3</v>
      </c>
      <c r="S61" s="57">
        <f t="shared" si="8"/>
        <v>20.688071578947365</v>
      </c>
      <c r="T61" s="50">
        <f t="shared" si="9"/>
        <v>1.6550457263157892</v>
      </c>
      <c r="U61" s="50">
        <f t="shared" si="10"/>
        <v>1.6550457263157892</v>
      </c>
      <c r="V61" s="101">
        <f t="shared" si="11"/>
        <v>1170.3415350877192</v>
      </c>
      <c r="W61" s="50">
        <f t="shared" si="12"/>
        <v>94.875889513008744</v>
      </c>
      <c r="X61" s="133">
        <f>+((([1]Resumen!O11-F60)*(D61-D60))/(F61-F60))+D60</f>
        <v>828.05039999999997</v>
      </c>
      <c r="Y61" s="69" t="s">
        <v>73</v>
      </c>
      <c r="AA61" s="54">
        <f t="shared" si="13"/>
        <v>5.1241104869912513E-2</v>
      </c>
      <c r="AB61" s="15"/>
    </row>
    <row r="62" spans="1:28" x14ac:dyDescent="0.25">
      <c r="A62" s="41">
        <v>50</v>
      </c>
      <c r="B62" s="42">
        <v>39601</v>
      </c>
      <c r="C62" s="43"/>
      <c r="D62" s="55">
        <v>900</v>
      </c>
      <c r="E62" s="56">
        <f t="shared" si="14"/>
        <v>60</v>
      </c>
      <c r="F62" s="45">
        <f>+'[1]Con 8hP4'!E82</f>
        <v>0.26321929824561402</v>
      </c>
      <c r="G62" s="47">
        <f t="shared" si="1"/>
        <v>15.793157894736842</v>
      </c>
      <c r="H62" s="47">
        <f>+F62/G85</f>
        <v>2.1338402913662305E-4</v>
      </c>
      <c r="I62" s="48">
        <f>+G62/G85</f>
        <v>1.2803041748197384E-2</v>
      </c>
      <c r="J62" s="49">
        <f t="shared" si="0"/>
        <v>11.522737573377645</v>
      </c>
      <c r="K62" s="45">
        <f t="shared" si="16"/>
        <v>0.21338402913662305</v>
      </c>
      <c r="L62" s="51">
        <f t="shared" si="2"/>
        <v>3.151260504201681</v>
      </c>
      <c r="M62" s="132">
        <f t="shared" si="3"/>
        <v>6.300126812963476E-2</v>
      </c>
      <c r="N62" s="51">
        <f t="shared" si="4"/>
        <v>1.4539087864521526E-2</v>
      </c>
      <c r="O62" s="52">
        <f t="shared" si="5"/>
        <v>6.5215083745738339E-2</v>
      </c>
      <c r="P62" s="51">
        <f t="shared" si="6"/>
        <v>5.1830615166489478E-2</v>
      </c>
      <c r="Q62" s="50">
        <f t="shared" si="7"/>
        <v>2.8501826091456288E-2</v>
      </c>
      <c r="R62" s="51">
        <f>+(Q62-M62)^2</f>
        <v>1.1902115009456359E-3</v>
      </c>
      <c r="S62" s="57">
        <f t="shared" si="8"/>
        <v>16.551229473684209</v>
      </c>
      <c r="T62" s="50">
        <f t="shared" si="9"/>
        <v>1.3240983578947367</v>
      </c>
      <c r="U62" s="50">
        <f t="shared" si="10"/>
        <v>1.3240983578947367</v>
      </c>
      <c r="V62" s="101">
        <f t="shared" si="11"/>
        <v>1186.134692982456</v>
      </c>
      <c r="W62" s="50">
        <f t="shared" si="12"/>
        <v>96.156190910985046</v>
      </c>
      <c r="X62" s="77"/>
      <c r="Y62" s="105"/>
      <c r="AA62" s="54">
        <f t="shared" si="13"/>
        <v>3.843809089014949E-2</v>
      </c>
      <c r="AB62" s="15"/>
    </row>
    <row r="63" spans="1:28" x14ac:dyDescent="0.25">
      <c r="A63" s="41">
        <v>51</v>
      </c>
      <c r="B63" s="42">
        <v>39601</v>
      </c>
      <c r="C63" s="43"/>
      <c r="D63" s="55">
        <v>960</v>
      </c>
      <c r="E63" s="56">
        <f t="shared" si="14"/>
        <v>60</v>
      </c>
      <c r="F63" s="45">
        <f>+'[1]Con 8hP4'!E83</f>
        <v>0.20839473684210524</v>
      </c>
      <c r="G63" s="47">
        <f t="shared" si="1"/>
        <v>12.503684210526314</v>
      </c>
      <c r="H63" s="47">
        <f>+F63/G85</f>
        <v>1.6893939348147944E-4</v>
      </c>
      <c r="I63" s="48">
        <f>+G63/G85</f>
        <v>1.0136363608888766E-2</v>
      </c>
      <c r="J63" s="49">
        <f t="shared" si="0"/>
        <v>9.7309090645332166</v>
      </c>
      <c r="K63" s="45">
        <f t="shared" si="16"/>
        <v>0.16893939348147943</v>
      </c>
      <c r="L63" s="51">
        <f t="shared" si="2"/>
        <v>3.3613445378151265</v>
      </c>
      <c r="M63" s="132">
        <f t="shared" si="3"/>
        <v>4.9879065783175025E-2</v>
      </c>
      <c r="N63" s="51">
        <f t="shared" si="4"/>
        <v>7.0664593704074892E-3</v>
      </c>
      <c r="O63" s="52">
        <f t="shared" si="5"/>
        <v>4.6620249161975227E-2</v>
      </c>
      <c r="P63" s="51">
        <f t="shared" si="6"/>
        <v>3.8946127980955793E-2</v>
      </c>
      <c r="Q63" s="50">
        <f t="shared" si="7"/>
        <v>2.1411097609193162E-2</v>
      </c>
      <c r="R63" s="51">
        <f t="shared" si="15"/>
        <v>8.1042521195484423E-4</v>
      </c>
      <c r="S63" s="57">
        <f t="shared" si="8"/>
        <v>13.103861052631578</v>
      </c>
      <c r="T63" s="50">
        <f t="shared" si="9"/>
        <v>1.0483088842105261</v>
      </c>
      <c r="U63" s="50">
        <f t="shared" si="10"/>
        <v>1.0483088842105261</v>
      </c>
      <c r="V63" s="101">
        <f t="shared" si="11"/>
        <v>1198.6383771929823</v>
      </c>
      <c r="W63" s="50">
        <f t="shared" si="12"/>
        <v>97.169825073404596</v>
      </c>
      <c r="X63" s="19"/>
      <c r="AA63" s="54">
        <f t="shared" si="13"/>
        <v>2.8301749265954079E-2</v>
      </c>
      <c r="AB63" s="15"/>
    </row>
    <row r="64" spans="1:28" x14ac:dyDescent="0.25">
      <c r="A64" s="41">
        <v>52</v>
      </c>
      <c r="B64" s="42">
        <v>39601</v>
      </c>
      <c r="C64" s="43"/>
      <c r="D64" s="55">
        <v>1020</v>
      </c>
      <c r="E64" s="56">
        <f>+D64-D63</f>
        <v>60</v>
      </c>
      <c r="F64" s="45">
        <f>+'[1]Con 8hP4'!E84</f>
        <v>0.13164035087719297</v>
      </c>
      <c r="G64" s="47">
        <f t="shared" si="1"/>
        <v>7.8984210526315781</v>
      </c>
      <c r="H64" s="47">
        <f>+F64/G85</f>
        <v>1.067169035642784E-4</v>
      </c>
      <c r="I64" s="48">
        <f>+G64/G85</f>
        <v>6.4030142138567043E-3</v>
      </c>
      <c r="J64" s="49">
        <f t="shared" si="0"/>
        <v>6.5310744981338384</v>
      </c>
      <c r="K64" s="45">
        <f t="shared" si="16"/>
        <v>0.1067169035642784</v>
      </c>
      <c r="L64" s="51">
        <f t="shared" si="2"/>
        <v>3.5714285714285721</v>
      </c>
      <c r="M64" s="132">
        <f t="shared" si="3"/>
        <v>3.1507982498131394E-2</v>
      </c>
      <c r="N64" s="51">
        <f t="shared" si="4"/>
        <v>3.2113819565967681E-3</v>
      </c>
      <c r="O64" s="52">
        <f t="shared" si="5"/>
        <v>3.2301907996254008E-2</v>
      </c>
      <c r="P64" s="51">
        <f t="shared" si="6"/>
        <v>2.9230866142067775E-2</v>
      </c>
      <c r="Q64" s="50">
        <f t="shared" si="7"/>
        <v>1.6051583753029886E-2</v>
      </c>
      <c r="R64" s="51">
        <f t="shared" si="15"/>
        <v>2.3890026216757547E-4</v>
      </c>
      <c r="S64" s="57">
        <f t="shared" si="8"/>
        <v>8.2775452631578936</v>
      </c>
      <c r="T64" s="50">
        <f t="shared" si="9"/>
        <v>0.66220362105263142</v>
      </c>
      <c r="U64" s="50">
        <f t="shared" si="10"/>
        <v>0.66220362105263142</v>
      </c>
      <c r="V64" s="101">
        <f t="shared" si="11"/>
        <v>1206.5367982456139</v>
      </c>
      <c r="W64" s="50">
        <f t="shared" si="12"/>
        <v>97.810125106044666</v>
      </c>
      <c r="X64" s="19"/>
      <c r="AA64" s="54">
        <f t="shared" si="13"/>
        <v>2.1898748939553347E-2</v>
      </c>
      <c r="AB64" s="15"/>
    </row>
    <row r="65" spans="1:28" x14ac:dyDescent="0.25">
      <c r="A65" s="41">
        <v>53</v>
      </c>
      <c r="B65" s="42">
        <v>39601</v>
      </c>
      <c r="C65" s="43"/>
      <c r="D65" s="55">
        <v>1080</v>
      </c>
      <c r="E65" s="56">
        <f t="shared" si="14"/>
        <v>60</v>
      </c>
      <c r="F65" s="45">
        <f>+'[1]Con 8hP4'!E85</f>
        <v>0.12067543859649123</v>
      </c>
      <c r="G65" s="47">
        <f t="shared" si="1"/>
        <v>7.2405263157894737</v>
      </c>
      <c r="H65" s="47">
        <f>+F65/G85</f>
        <v>9.7827976433249696E-5</v>
      </c>
      <c r="I65" s="48">
        <f>+G65/G85</f>
        <v>5.8696785859949814E-3</v>
      </c>
      <c r="J65" s="49">
        <f t="shared" si="0"/>
        <v>6.3392528728745798</v>
      </c>
      <c r="K65" s="45">
        <f t="shared" si="16"/>
        <v>9.7827976433249697E-2</v>
      </c>
      <c r="L65" s="51">
        <f t="shared" si="2"/>
        <v>3.7815126050420171</v>
      </c>
      <c r="M65" s="132">
        <f t="shared" si="3"/>
        <v>2.8883542028839453E-2</v>
      </c>
      <c r="N65" s="51">
        <f t="shared" si="4"/>
        <v>1.3646065487314329E-3</v>
      </c>
      <c r="O65" s="52">
        <f t="shared" si="5"/>
        <v>2.1692460381754604E-2</v>
      </c>
      <c r="P65" s="51">
        <f t="shared" si="6"/>
        <v>2.1920295816511035E-2</v>
      </c>
      <c r="Q65" s="50">
        <f t="shared" si="7"/>
        <v>1.2011881846378454E-2</v>
      </c>
      <c r="R65" s="51">
        <f t="shared" si="15"/>
        <v>2.8465291731243997E-4</v>
      </c>
      <c r="S65" s="57">
        <f t="shared" si="8"/>
        <v>7.5880715789473676</v>
      </c>
      <c r="T65" s="50">
        <f t="shared" si="9"/>
        <v>0.60704572631578946</v>
      </c>
      <c r="U65" s="50">
        <f t="shared" si="10"/>
        <v>0.60704572631578946</v>
      </c>
      <c r="V65" s="101">
        <f t="shared" si="11"/>
        <v>1213.7773245614035</v>
      </c>
      <c r="W65" s="50">
        <f t="shared" si="12"/>
        <v>98.397091691573394</v>
      </c>
      <c r="X65" s="77"/>
      <c r="Y65" s="66"/>
      <c r="AA65" s="54">
        <f t="shared" si="13"/>
        <v>1.6029083084266094E-2</v>
      </c>
      <c r="AB65" s="15"/>
    </row>
    <row r="66" spans="1:28" x14ac:dyDescent="0.25">
      <c r="A66" s="41">
        <v>54</v>
      </c>
      <c r="B66" s="42">
        <v>39601</v>
      </c>
      <c r="C66" s="43"/>
      <c r="D66" s="55">
        <v>1140</v>
      </c>
      <c r="E66" s="56">
        <f t="shared" si="14"/>
        <v>60</v>
      </c>
      <c r="F66" s="45">
        <f>+'[1]Con 8hP4'!E86</f>
        <v>9.8745614035087734E-2</v>
      </c>
      <c r="G66" s="47">
        <f t="shared" si="1"/>
        <v>5.924736842105264</v>
      </c>
      <c r="H66" s="47">
        <f>+F66/G85</f>
        <v>8.0050122171192265E-5</v>
      </c>
      <c r="I66" s="48">
        <f>+G66/G85</f>
        <v>4.8030073302715356E-3</v>
      </c>
      <c r="J66" s="49">
        <f t="shared" si="0"/>
        <v>5.4754283565095507</v>
      </c>
      <c r="K66" s="45">
        <f t="shared" si="16"/>
        <v>8.005012217119227E-2</v>
      </c>
      <c r="L66" s="51">
        <f t="shared" si="2"/>
        <v>3.9915966386554627</v>
      </c>
      <c r="M66" s="132">
        <f t="shared" si="3"/>
        <v>2.3634661090255561E-2</v>
      </c>
      <c r="N66" s="51">
        <f t="shared" si="4"/>
        <v>5.4218603940183027E-4</v>
      </c>
      <c r="O66" s="52">
        <f t="shared" si="5"/>
        <v>1.4119408445286931E-2</v>
      </c>
      <c r="P66" s="51">
        <f t="shared" si="6"/>
        <v>1.6427622685865124E-2</v>
      </c>
      <c r="Q66" s="50">
        <f t="shared" si="7"/>
        <v>8.9743589363389647E-3</v>
      </c>
      <c r="R66" s="51">
        <f t="shared" si="15"/>
        <v>2.1492445924413159E-4</v>
      </c>
      <c r="S66" s="57">
        <f t="shared" si="8"/>
        <v>6.2091242105263165</v>
      </c>
      <c r="T66" s="50">
        <f t="shared" si="9"/>
        <v>0.49672993684210531</v>
      </c>
      <c r="U66" s="50">
        <f t="shared" si="10"/>
        <v>0.49672993684210531</v>
      </c>
      <c r="V66" s="101">
        <f t="shared" si="11"/>
        <v>1219.7020614035087</v>
      </c>
      <c r="W66" s="50">
        <f t="shared" si="12"/>
        <v>98.877391382879381</v>
      </c>
      <c r="X66" s="19"/>
      <c r="AA66" s="54">
        <f t="shared" si="13"/>
        <v>1.122608617120624E-2</v>
      </c>
      <c r="AB66" s="15"/>
    </row>
    <row r="67" spans="1:28" x14ac:dyDescent="0.25">
      <c r="A67" s="41">
        <v>55</v>
      </c>
      <c r="B67" s="42">
        <v>39601</v>
      </c>
      <c r="C67" s="43"/>
      <c r="D67" s="55">
        <v>1200</v>
      </c>
      <c r="E67" s="56">
        <f t="shared" si="14"/>
        <v>60</v>
      </c>
      <c r="F67" s="45">
        <f>+'[1]Con 8hP4'!E87</f>
        <v>6.5850877192982452E-2</v>
      </c>
      <c r="G67" s="47">
        <f t="shared" si="1"/>
        <v>3.9510526315789471</v>
      </c>
      <c r="H67" s="47">
        <f>+F67/G85</f>
        <v>5.3383340778106079E-5</v>
      </c>
      <c r="I67" s="48">
        <f>+G67/G85</f>
        <v>3.2030004466863651E-3</v>
      </c>
      <c r="J67" s="49">
        <f t="shared" si="0"/>
        <v>3.8436005360236383</v>
      </c>
      <c r="K67" s="45">
        <f t="shared" si="16"/>
        <v>5.3383340778106081E-2</v>
      </c>
      <c r="L67" s="51">
        <f t="shared" si="2"/>
        <v>4.2016806722689077</v>
      </c>
      <c r="M67" s="132">
        <f t="shared" si="3"/>
        <v>1.5761339682379714E-2</v>
      </c>
      <c r="N67" s="51">
        <f t="shared" si="4"/>
        <v>2.0142557038876273E-4</v>
      </c>
      <c r="O67" s="52">
        <f t="shared" si="5"/>
        <v>8.9074058769923088E-3</v>
      </c>
      <c r="P67" s="51">
        <f t="shared" si="6"/>
        <v>1.2305517032731394E-2</v>
      </c>
      <c r="Q67" s="50">
        <f t="shared" si="7"/>
        <v>6.6952525768849943E-3</v>
      </c>
      <c r="R67" s="51">
        <f t="shared" si="15"/>
        <v>8.2193935404417651E-5</v>
      </c>
      <c r="S67" s="57">
        <f t="shared" si="8"/>
        <v>4.1407031578947366</v>
      </c>
      <c r="T67" s="50">
        <f t="shared" si="9"/>
        <v>0.33125625263157893</v>
      </c>
      <c r="U67" s="50">
        <f t="shared" si="10"/>
        <v>0.33125625263157893</v>
      </c>
      <c r="V67" s="101">
        <f t="shared" si="11"/>
        <v>1223.6531140350876</v>
      </c>
      <c r="W67" s="50">
        <f t="shared" si="12"/>
        <v>99.197690732851328</v>
      </c>
      <c r="X67" s="77"/>
      <c r="Y67" s="66"/>
      <c r="AA67" s="54">
        <f t="shared" si="13"/>
        <v>8.023092671486709E-3</v>
      </c>
      <c r="AB67" s="15"/>
    </row>
    <row r="68" spans="1:28" x14ac:dyDescent="0.25">
      <c r="A68" s="41">
        <v>56</v>
      </c>
      <c r="B68" s="42">
        <v>39601</v>
      </c>
      <c r="C68" s="43"/>
      <c r="D68" s="55">
        <v>1260</v>
      </c>
      <c r="E68" s="56">
        <f>+D68-D67</f>
        <v>60</v>
      </c>
      <c r="F68" s="45">
        <f>+'[1]Con 8hP4'!E88</f>
        <v>4.3921052631578944E-2</v>
      </c>
      <c r="G68" s="47">
        <f t="shared" si="1"/>
        <v>2.6352631578947365</v>
      </c>
      <c r="H68" s="47">
        <f>+F68/G85</f>
        <v>3.5605486516048641E-5</v>
      </c>
      <c r="I68" s="48">
        <f>+G68/G85</f>
        <v>2.1363291909629184E-3</v>
      </c>
      <c r="J68" s="49">
        <f t="shared" si="0"/>
        <v>2.6917747806132772</v>
      </c>
      <c r="K68" s="45">
        <f t="shared" si="16"/>
        <v>3.560548651604864E-2</v>
      </c>
      <c r="L68" s="51">
        <f t="shared" si="2"/>
        <v>4.4117647058823533</v>
      </c>
      <c r="M68" s="132">
        <f t="shared" si="3"/>
        <v>1.0512458743795822E-2</v>
      </c>
      <c r="N68" s="51">
        <f t="shared" si="4"/>
        <v>6.996909633523091E-5</v>
      </c>
      <c r="O68" s="52">
        <f t="shared" si="5"/>
        <v>5.446443889555415E-3</v>
      </c>
      <c r="P68" s="51">
        <f t="shared" si="6"/>
        <v>9.2146346568320464E-3</v>
      </c>
      <c r="Q68" s="50">
        <f t="shared" si="7"/>
        <v>4.9884202235147305E-3</v>
      </c>
      <c r="R68" s="51">
        <f t="shared" si="15"/>
        <v>3.0515001573549313E-5</v>
      </c>
      <c r="S68" s="57">
        <f t="shared" si="8"/>
        <v>2.7617557894736842</v>
      </c>
      <c r="T68" s="50">
        <f t="shared" si="9"/>
        <v>0.22094046315789476</v>
      </c>
      <c r="U68" s="50">
        <f t="shared" si="10"/>
        <v>0.22094046315789476</v>
      </c>
      <c r="V68" s="101">
        <f t="shared" si="11"/>
        <v>1226.2883771929824</v>
      </c>
      <c r="W68" s="50">
        <f t="shared" si="12"/>
        <v>99.411323188600576</v>
      </c>
      <c r="X68" s="104"/>
      <c r="Y68" s="105"/>
      <c r="Z68" s="106"/>
      <c r="AA68" s="54">
        <f t="shared" si="13"/>
        <v>5.8867681139942452E-3</v>
      </c>
      <c r="AB68" s="15"/>
    </row>
    <row r="69" spans="1:28" x14ac:dyDescent="0.25">
      <c r="A69" s="41">
        <v>57</v>
      </c>
      <c r="B69" s="42">
        <v>39601</v>
      </c>
      <c r="C69" s="43"/>
      <c r="D69" s="55">
        <v>1320</v>
      </c>
      <c r="E69" s="56">
        <f>+D69-D68</f>
        <v>60</v>
      </c>
      <c r="F69" s="45">
        <f>+'[1]Con 8hP4'!E89</f>
        <v>4.3921052631578944E-2</v>
      </c>
      <c r="G69" s="47">
        <f t="shared" si="1"/>
        <v>2.6352631578947365</v>
      </c>
      <c r="H69" s="47">
        <f>+F69/G85</f>
        <v>3.5605486516048641E-5</v>
      </c>
      <c r="I69" s="48">
        <f>+G69/G85</f>
        <v>2.1363291909629184E-3</v>
      </c>
      <c r="J69" s="49">
        <f t="shared" si="0"/>
        <v>2.8199545320710522</v>
      </c>
      <c r="K69" s="45">
        <f t="shared" si="16"/>
        <v>3.560548651604864E-2</v>
      </c>
      <c r="L69" s="51">
        <f t="shared" si="2"/>
        <v>4.6218487394957988</v>
      </c>
      <c r="M69" s="132">
        <f t="shared" si="3"/>
        <v>1.0512458743795822E-2</v>
      </c>
      <c r="N69" s="51">
        <f t="shared" si="4"/>
        <v>2.2726016586011324E-5</v>
      </c>
      <c r="O69" s="52">
        <f t="shared" si="5"/>
        <v>3.2277647710326658E-3</v>
      </c>
      <c r="P69" s="51">
        <f t="shared" si="6"/>
        <v>6.8984741924974155E-3</v>
      </c>
      <c r="Q69" s="50">
        <f t="shared" si="7"/>
        <v>3.7123118405581377E-3</v>
      </c>
      <c r="R69" s="51">
        <f t="shared" si="15"/>
        <v>4.6241997905613069E-5</v>
      </c>
      <c r="S69" s="57">
        <f t="shared" si="8"/>
        <v>2.7617557894736842</v>
      </c>
      <c r="T69" s="50">
        <f t="shared" si="9"/>
        <v>0.22094046315789476</v>
      </c>
      <c r="U69" s="50">
        <f t="shared" si="10"/>
        <v>0.22094046315789476</v>
      </c>
      <c r="V69" s="101">
        <f t="shared" si="11"/>
        <v>1228.9236403508771</v>
      </c>
      <c r="W69" s="50">
        <f t="shared" si="12"/>
        <v>99.624955644349825</v>
      </c>
      <c r="X69" s="104"/>
      <c r="Y69" s="106"/>
      <c r="Z69" s="106"/>
      <c r="AA69" s="54">
        <f t="shared" si="13"/>
        <v>3.7504435565017813E-3</v>
      </c>
      <c r="AB69" s="15"/>
    </row>
    <row r="70" spans="1:28" x14ac:dyDescent="0.25">
      <c r="A70" s="41">
        <v>58</v>
      </c>
      <c r="B70" s="42">
        <v>39601</v>
      </c>
      <c r="C70" s="43"/>
      <c r="D70" s="55">
        <v>1380</v>
      </c>
      <c r="E70" s="56">
        <f t="shared" si="14"/>
        <v>60</v>
      </c>
      <c r="F70" s="45">
        <f>+'[1]Con 8hP4'!E90</f>
        <v>3.2956140350877197E-2</v>
      </c>
      <c r="G70" s="47">
        <f t="shared" si="1"/>
        <v>1.9773684210526319</v>
      </c>
      <c r="H70" s="47">
        <f>+F70/G85</f>
        <v>2.6716559385019926E-5</v>
      </c>
      <c r="I70" s="48">
        <f>+G70/G85</f>
        <v>1.6029935631011957E-3</v>
      </c>
      <c r="J70" s="49">
        <f t="shared" si="0"/>
        <v>2.2121311170796503</v>
      </c>
      <c r="K70" s="45">
        <f t="shared" si="16"/>
        <v>2.6716559385019926E-2</v>
      </c>
      <c r="L70" s="51">
        <f t="shared" si="2"/>
        <v>4.8319327731092443</v>
      </c>
      <c r="M70" s="132">
        <f t="shared" si="3"/>
        <v>7.8880182745038763E-3</v>
      </c>
      <c r="N70" s="51">
        <f t="shared" si="4"/>
        <v>6.901853953745384E-6</v>
      </c>
      <c r="O70" s="52">
        <f t="shared" si="5"/>
        <v>1.8540343334852135E-3</v>
      </c>
      <c r="P70" s="51">
        <f t="shared" si="6"/>
        <v>5.1636710820508651E-3</v>
      </c>
      <c r="Q70" s="50">
        <f t="shared" si="7"/>
        <v>2.7596689891485147E-3</v>
      </c>
      <c r="R70" s="51">
        <f t="shared" si="15"/>
        <v>2.6299966392604849E-5</v>
      </c>
      <c r="S70" s="57">
        <f t="shared" si="8"/>
        <v>2.0722821052631581</v>
      </c>
      <c r="T70" s="50">
        <f t="shared" si="9"/>
        <v>0.16578256842105266</v>
      </c>
      <c r="U70" s="50">
        <f t="shared" si="10"/>
        <v>0.16578256842105266</v>
      </c>
      <c r="V70" s="101">
        <f t="shared" si="11"/>
        <v>1230.9010087719298</v>
      </c>
      <c r="W70" s="50">
        <f t="shared" si="12"/>
        <v>99.785254652987703</v>
      </c>
      <c r="X70" s="104"/>
      <c r="Y70" s="66"/>
      <c r="AA70" s="54">
        <f t="shared" si="13"/>
        <v>2.1474534701230175E-3</v>
      </c>
      <c r="AB70" s="15"/>
    </row>
    <row r="71" spans="1:28" x14ac:dyDescent="0.25">
      <c r="A71" s="41">
        <v>59</v>
      </c>
      <c r="B71" s="42">
        <v>39601</v>
      </c>
      <c r="C71" s="43"/>
      <c r="D71" s="55">
        <v>1440</v>
      </c>
      <c r="E71" s="56">
        <f t="shared" si="14"/>
        <v>60</v>
      </c>
      <c r="F71" s="45">
        <f>+'[1]Con 8hP4'!E91</f>
        <v>2.1991228070175433E-2</v>
      </c>
      <c r="G71" s="47">
        <f t="shared" si="1"/>
        <v>1.3194736842105259</v>
      </c>
      <c r="H71" s="47">
        <f>+F71/G85</f>
        <v>1.7827632253991197E-5</v>
      </c>
      <c r="I71" s="48">
        <f>+G71/G85</f>
        <v>1.0696579352394719E-3</v>
      </c>
      <c r="J71" s="49">
        <f t="shared" si="0"/>
        <v>1.5403074267448396</v>
      </c>
      <c r="K71" s="45">
        <f t="shared" si="16"/>
        <v>1.7827632253991196E-2</v>
      </c>
      <c r="L71" s="51">
        <f t="shared" si="2"/>
        <v>5.0420168067226898</v>
      </c>
      <c r="M71" s="132">
        <f t="shared" si="3"/>
        <v>5.2635778052119277E-3</v>
      </c>
      <c r="N71" s="51">
        <f t="shared" si="4"/>
        <v>1.9598985997136547E-6</v>
      </c>
      <c r="O71" s="52">
        <f t="shared" si="5"/>
        <v>1.0321925469099786E-3</v>
      </c>
      <c r="P71" s="51">
        <f t="shared" si="6"/>
        <v>3.8647488283722027E-3</v>
      </c>
      <c r="Q71" s="50">
        <f t="shared" si="7"/>
        <v>2.0494653630734614E-3</v>
      </c>
      <c r="R71" s="51">
        <f t="shared" si="15"/>
        <v>1.0330518790709296E-5</v>
      </c>
      <c r="S71" s="57">
        <f t="shared" si="8"/>
        <v>1.3828084210526312</v>
      </c>
      <c r="T71" s="50">
        <f t="shared" si="9"/>
        <v>0.11062467368421051</v>
      </c>
      <c r="U71" s="50">
        <f t="shared" si="10"/>
        <v>0.11062467368421051</v>
      </c>
      <c r="V71" s="101">
        <f t="shared" si="11"/>
        <v>1232.2204824561404</v>
      </c>
      <c r="W71" s="50">
        <f t="shared" si="12"/>
        <v>99.892220214514253</v>
      </c>
      <c r="X71" s="104"/>
      <c r="Y71" s="105"/>
      <c r="AA71" s="54">
        <f t="shared" si="13"/>
        <v>1.0777978548575096E-3</v>
      </c>
      <c r="AB71" s="15"/>
    </row>
    <row r="72" spans="1:28" x14ac:dyDescent="0.25">
      <c r="A72" s="41">
        <v>60</v>
      </c>
      <c r="B72" s="42">
        <v>39601</v>
      </c>
      <c r="C72" s="43"/>
      <c r="D72" s="55">
        <v>1470</v>
      </c>
      <c r="E72" s="56">
        <f t="shared" si="14"/>
        <v>30</v>
      </c>
      <c r="F72" s="45">
        <f>+'[1]Con 8hP4'!E92</f>
        <v>1.1026315789473686E-2</v>
      </c>
      <c r="G72" s="47">
        <f t="shared" si="1"/>
        <v>0.33078947368421058</v>
      </c>
      <c r="H72" s="47">
        <f>+F72/G85</f>
        <v>8.9387051229624838E-6</v>
      </c>
      <c r="I72" s="48">
        <f>+G72/G85</f>
        <v>2.681611536888745E-4</v>
      </c>
      <c r="J72" s="49">
        <f t="shared" si="0"/>
        <v>0.39419689592264551</v>
      </c>
      <c r="K72" s="45">
        <f t="shared" si="16"/>
        <v>8.9387051229624839E-3</v>
      </c>
      <c r="L72" s="51">
        <f t="shared" si="2"/>
        <v>5.1470588235294121</v>
      </c>
      <c r="M72" s="132">
        <f t="shared" si="3"/>
        <v>2.6391373359199825E-3</v>
      </c>
      <c r="N72" s="51">
        <f t="shared" si="4"/>
        <v>1.0184202899409571E-6</v>
      </c>
      <c r="O72" s="52">
        <f t="shared" si="5"/>
        <v>7.6118870706518027E-4</v>
      </c>
      <c r="P72" s="51">
        <f t="shared" si="6"/>
        <v>3.3434380474152785E-3</v>
      </c>
      <c r="Q72" s="50">
        <f t="shared" si="7"/>
        <v>1.7655606328827527E-3</v>
      </c>
      <c r="R72" s="51">
        <f t="shared" si="15"/>
        <v>7.6313625608939645E-7</v>
      </c>
      <c r="S72" s="57">
        <f t="shared" si="8"/>
        <v>0.34666736842105272</v>
      </c>
      <c r="T72" s="50">
        <f t="shared" si="9"/>
        <v>2.7733389473684218E-2</v>
      </c>
      <c r="U72" s="50">
        <f t="shared" si="10"/>
        <v>2.7733389473684218E-2</v>
      </c>
      <c r="V72" s="101">
        <f t="shared" si="11"/>
        <v>1232.5512719298247</v>
      </c>
      <c r="W72" s="50">
        <f t="shared" si="12"/>
        <v>99.919036271721836</v>
      </c>
      <c r="X72" s="19"/>
      <c r="AA72" s="54">
        <f t="shared" si="13"/>
        <v>8.0963728278160563E-4</v>
      </c>
      <c r="AB72" s="15"/>
    </row>
    <row r="73" spans="1:28" x14ac:dyDescent="0.25">
      <c r="A73" s="41">
        <v>61</v>
      </c>
      <c r="B73" s="42">
        <v>39601</v>
      </c>
      <c r="C73" s="43"/>
      <c r="D73" s="55">
        <v>1500</v>
      </c>
      <c r="E73" s="56">
        <f t="shared" si="14"/>
        <v>30</v>
      </c>
      <c r="F73" s="45">
        <f>+'[1]Con 8hP4'!E93</f>
        <v>1.1026315789473686E-2</v>
      </c>
      <c r="G73" s="47">
        <f t="shared" si="1"/>
        <v>0.33078947368421058</v>
      </c>
      <c r="H73" s="47">
        <f>+F73/G85</f>
        <v>8.9387051229624838E-6</v>
      </c>
      <c r="I73" s="48">
        <f>+G73/G85</f>
        <v>2.681611536888745E-4</v>
      </c>
      <c r="J73" s="49">
        <f t="shared" si="0"/>
        <v>0.40224173053331175</v>
      </c>
      <c r="K73" s="45">
        <f t="shared" si="16"/>
        <v>8.9387051229624839E-3</v>
      </c>
      <c r="L73" s="51">
        <f t="shared" si="2"/>
        <v>5.2521008403361353</v>
      </c>
      <c r="M73" s="132">
        <f t="shared" si="3"/>
        <v>2.6391373359199825E-3</v>
      </c>
      <c r="N73" s="51">
        <f t="shared" si="4"/>
        <v>5.2038747072615795E-7</v>
      </c>
      <c r="O73" s="52">
        <f t="shared" si="5"/>
        <v>5.5696860670486291E-4</v>
      </c>
      <c r="P73" s="51">
        <f t="shared" si="6"/>
        <v>2.8924245771173042E-3</v>
      </c>
      <c r="Q73" s="50">
        <f t="shared" si="7"/>
        <v>1.520653448209815E-3</v>
      </c>
      <c r="R73" s="51">
        <f t="shared" si="15"/>
        <v>1.2510062070672505E-6</v>
      </c>
      <c r="S73" s="57">
        <f t="shared" si="8"/>
        <v>0.34666736842105272</v>
      </c>
      <c r="T73" s="50">
        <f t="shared" si="9"/>
        <v>2.7733389473684218E-2</v>
      </c>
      <c r="U73" s="50">
        <f t="shared" si="10"/>
        <v>2.7733389473684218E-2</v>
      </c>
      <c r="V73" s="101">
        <f t="shared" si="11"/>
        <v>1232.8820614035089</v>
      </c>
      <c r="W73" s="50">
        <f t="shared" si="12"/>
        <v>99.945852328929433</v>
      </c>
      <c r="X73" s="19"/>
      <c r="AA73" s="54">
        <f t="shared" si="13"/>
        <v>5.4147671070570169E-4</v>
      </c>
      <c r="AB73" s="15"/>
    </row>
    <row r="74" spans="1:28" x14ac:dyDescent="0.25">
      <c r="A74" s="41">
        <v>62</v>
      </c>
      <c r="B74" s="42">
        <v>39601</v>
      </c>
      <c r="C74" s="43"/>
      <c r="D74" s="55">
        <v>1530</v>
      </c>
      <c r="E74" s="56">
        <f>+D74-D73</f>
        <v>30</v>
      </c>
      <c r="F74" s="45">
        <f>+'[1]Con 8hP4'!E94</f>
        <v>1.1026315789473686E-2</v>
      </c>
      <c r="G74" s="47">
        <f t="shared" si="1"/>
        <v>0.33078947368421058</v>
      </c>
      <c r="H74" s="47">
        <f>+F74/G85</f>
        <v>8.9387051229624838E-6</v>
      </c>
      <c r="I74" s="48">
        <f>+G74/G85</f>
        <v>2.681611536888745E-4</v>
      </c>
      <c r="J74" s="49">
        <f t="shared" si="0"/>
        <v>0.41028656514397799</v>
      </c>
      <c r="K74" s="45">
        <f t="shared" si="16"/>
        <v>8.9387051229624839E-3</v>
      </c>
      <c r="L74" s="51">
        <f t="shared" si="2"/>
        <v>5.3571428571428577</v>
      </c>
      <c r="M74" s="132">
        <f t="shared" si="3"/>
        <v>2.6391373359199825E-3</v>
      </c>
      <c r="N74" s="51">
        <f t="shared" si="4"/>
        <v>2.614766835257593E-7</v>
      </c>
      <c r="O74" s="52">
        <f t="shared" si="5"/>
        <v>4.0436714381906878E-4</v>
      </c>
      <c r="P74" s="51">
        <f t="shared" si="6"/>
        <v>2.5022430496383966E-3</v>
      </c>
      <c r="Q74" s="50">
        <f t="shared" si="7"/>
        <v>1.3094447134469583E-3</v>
      </c>
      <c r="R74" s="51">
        <f t="shared" si="15"/>
        <v>1.7680824702591885E-6</v>
      </c>
      <c r="S74" s="57">
        <f t="shared" si="8"/>
        <v>0.34666736842105272</v>
      </c>
      <c r="T74" s="50">
        <f t="shared" si="9"/>
        <v>2.7733389473684218E-2</v>
      </c>
      <c r="U74" s="50">
        <f t="shared" si="10"/>
        <v>2.7733389473684218E-2</v>
      </c>
      <c r="V74" s="101">
        <f t="shared" si="11"/>
        <v>1233.2128508771932</v>
      </c>
      <c r="W74" s="50">
        <f t="shared" si="12"/>
        <v>99.972668386137016</v>
      </c>
      <c r="X74" s="19"/>
      <c r="AA74" s="54">
        <f t="shared" si="13"/>
        <v>2.7331613862979776E-4</v>
      </c>
      <c r="AB74" s="15"/>
    </row>
    <row r="75" spans="1:28" x14ac:dyDescent="0.25">
      <c r="A75" s="41">
        <v>63</v>
      </c>
      <c r="B75" s="42">
        <v>39601</v>
      </c>
      <c r="C75" s="43"/>
      <c r="D75" s="55">
        <v>1560</v>
      </c>
      <c r="E75" s="56">
        <f t="shared" si="14"/>
        <v>30</v>
      </c>
      <c r="F75" s="45">
        <f>+'[1]Con 8hP4'!E95</f>
        <v>1.1026315789473686E-2</v>
      </c>
      <c r="G75" s="47">
        <f t="shared" si="1"/>
        <v>0.33078947368421058</v>
      </c>
      <c r="H75" s="47">
        <f>+F75/G85</f>
        <v>8.9387051229624838E-6</v>
      </c>
      <c r="I75" s="48">
        <f>+G75/G85</f>
        <v>2.681611536888745E-4</v>
      </c>
      <c r="J75" s="49">
        <f t="shared" si="0"/>
        <v>0.41833139975464423</v>
      </c>
      <c r="K75" s="45">
        <f t="shared" si="16"/>
        <v>8.9387051229624839E-3</v>
      </c>
      <c r="L75" s="51">
        <f t="shared" si="2"/>
        <v>5.4621848739495809</v>
      </c>
      <c r="M75" s="132">
        <f t="shared" si="3"/>
        <v>2.6391373359199825E-3</v>
      </c>
      <c r="N75" s="51">
        <f t="shared" si="4"/>
        <v>1.2919492438597767E-7</v>
      </c>
      <c r="O75" s="52">
        <f t="shared" si="5"/>
        <v>2.9129146973267707E-4</v>
      </c>
      <c r="P75" s="51">
        <f t="shared" si="6"/>
        <v>2.1646981179587669E-3</v>
      </c>
      <c r="Q75" s="50">
        <f t="shared" si="7"/>
        <v>1.1273451635341186E-3</v>
      </c>
      <c r="R75" s="51">
        <f t="shared" si="15"/>
        <v>2.2855155724871699E-6</v>
      </c>
      <c r="S75" s="57">
        <f t="shared" si="8"/>
        <v>0.34666736842105272</v>
      </c>
      <c r="T75" s="50">
        <f t="shared" si="9"/>
        <v>2.7733389473684218E-2</v>
      </c>
      <c r="U75" s="50">
        <f t="shared" si="10"/>
        <v>2.7733389473684218E-2</v>
      </c>
      <c r="V75" s="101">
        <f t="shared" si="11"/>
        <v>1233.5436403508775</v>
      </c>
      <c r="W75" s="50">
        <f t="shared" si="12"/>
        <v>99.999484443344627</v>
      </c>
      <c r="X75" s="19"/>
      <c r="AA75" s="54">
        <f t="shared" si="13"/>
        <v>5.1555665536717754E-6</v>
      </c>
      <c r="AB75" s="15"/>
    </row>
    <row r="76" spans="1:28" x14ac:dyDescent="0.25">
      <c r="A76" s="41">
        <v>64</v>
      </c>
      <c r="B76" s="42">
        <v>39601</v>
      </c>
      <c r="C76" s="43"/>
      <c r="D76" s="55">
        <v>1590</v>
      </c>
      <c r="E76" s="56">
        <f>+D76-D75</f>
        <v>30</v>
      </c>
      <c r="F76" s="45">
        <f>+'[1]Con 8hP4'!E96</f>
        <v>6.1403508771932375E-5</v>
      </c>
      <c r="G76" s="47">
        <f t="shared" si="1"/>
        <v>1.8421052631579712E-3</v>
      </c>
      <c r="H76" s="47">
        <f>+F76/G85</f>
        <v>4.9777991933762905E-8</v>
      </c>
      <c r="I76" s="48">
        <f>+G76/G85</f>
        <v>1.4933397580128872E-6</v>
      </c>
      <c r="J76" s="49">
        <f t="shared" ref="J76:J82" si="17">+D76*I76</f>
        <v>2.3744102152404908E-3</v>
      </c>
      <c r="K76" s="45">
        <f t="shared" si="16"/>
        <v>4.9777991933762906E-5</v>
      </c>
      <c r="L76" s="51">
        <f t="shared" si="2"/>
        <v>5.5672268907563032</v>
      </c>
      <c r="M76" s="132">
        <f t="shared" si="3"/>
        <v>1.4696866628035513E-5</v>
      </c>
      <c r="N76" s="51">
        <f t="shared" si="4"/>
        <v>6.2771756901719634E-8</v>
      </c>
      <c r="O76" s="52">
        <f t="shared" si="5"/>
        <v>2.0820273778994781E-4</v>
      </c>
      <c r="P76" s="51">
        <f t="shared" si="6"/>
        <v>1.8726952527816593E-3</v>
      </c>
      <c r="Q76" s="50">
        <f t="shared" si="7"/>
        <v>9.7038213050971327E-4</v>
      </c>
      <c r="R76" s="51">
        <f t="shared" si="15"/>
        <v>9.1333432360059199E-7</v>
      </c>
      <c r="S76" s="57">
        <f t="shared" si="8"/>
        <v>1.9305263157895537E-3</v>
      </c>
      <c r="T76" s="50">
        <f t="shared" si="9"/>
        <v>1.5444210526316428E-4</v>
      </c>
      <c r="U76" s="50">
        <f t="shared" si="10"/>
        <v>1.5444210526316428E-4</v>
      </c>
      <c r="V76" s="101">
        <f t="shared" si="11"/>
        <v>1233.5454824561407</v>
      </c>
      <c r="W76" s="50">
        <f t="shared" si="12"/>
        <v>99.999633776996532</v>
      </c>
      <c r="X76" s="19"/>
      <c r="AA76" s="54">
        <f t="shared" si="13"/>
        <v>3.6622300346733638E-6</v>
      </c>
      <c r="AB76" s="15"/>
    </row>
    <row r="77" spans="1:28" x14ac:dyDescent="0.25">
      <c r="A77" s="41">
        <v>65</v>
      </c>
      <c r="B77" s="42">
        <v>39601</v>
      </c>
      <c r="C77" s="43"/>
      <c r="D77" s="55">
        <v>1620</v>
      </c>
      <c r="E77" s="56">
        <f t="shared" si="14"/>
        <v>30</v>
      </c>
      <c r="F77" s="45">
        <f>+'[1]Con 8hP4'!E97</f>
        <v>6.1403508771932375E-5</v>
      </c>
      <c r="G77" s="47">
        <f t="shared" ref="G77:G82" si="18">+F77*E77</f>
        <v>1.8421052631579712E-3</v>
      </c>
      <c r="H77" s="47">
        <f>+F77/G85</f>
        <v>4.9777991933762905E-8</v>
      </c>
      <c r="I77" s="48">
        <f>+G77/G85</f>
        <v>1.4933397580128872E-6</v>
      </c>
      <c r="J77" s="49">
        <f t="shared" si="17"/>
        <v>2.4192104079808771E-3</v>
      </c>
      <c r="K77" s="45">
        <f t="shared" si="16"/>
        <v>4.9777991933762906E-5</v>
      </c>
      <c r="L77" s="51">
        <f t="shared" ref="L77:L82" si="19">+D77/(4.76*60)</f>
        <v>5.6722689075630255</v>
      </c>
      <c r="M77" s="132">
        <f t="shared" ref="M77:M82" si="20">+F77/4.178</f>
        <v>1.4696866628035513E-5</v>
      </c>
      <c r="N77" s="51">
        <f t="shared" ref="N77:N82" si="21">+(1/(2*SQRT(3.1416*0.3285))*EXP(-((1-L77)^2/(4*0.3285))))</f>
        <v>2.9990897610149712E-8</v>
      </c>
      <c r="O77" s="52">
        <f t="shared" ref="O77:O82" si="22">+(1/(2*SQRT(3.1416*0.7061))*EXP(-((1-L77)^2/(4*0.7061))))</f>
        <v>1.4765626142983841E-4</v>
      </c>
      <c r="P77" s="51">
        <f t="shared" ref="P77:P82" si="23">+(1/(2*SQRT(3.1416*L77*0.1876))*EXP(-((1-L77)^2/(4*L77*0.1876))))</f>
        <v>1.6200937783606355E-3</v>
      </c>
      <c r="Q77" s="50">
        <f t="shared" ref="Q77:Q82" si="24">+(1.522*(1.522*L77)^(1.522-1)/FACT(1.522-1))*EXP(-1.522*L77)</f>
        <v>8.3511821255403897E-4</v>
      </c>
      <c r="R77" s="51">
        <f t="shared" si="15"/>
        <v>6.7309118485103503E-7</v>
      </c>
      <c r="S77" s="57">
        <f t="shared" ref="S77:S82" si="25">1048/1000*F77*E77</f>
        <v>1.9305263157895537E-3</v>
      </c>
      <c r="T77" s="50">
        <f t="shared" ref="T77:T82" si="26">+S77/(5000*0.25)*100</f>
        <v>1.5444210526316428E-4</v>
      </c>
      <c r="U77" s="50">
        <f t="shared" ref="U77:U82" si="27">+T77</f>
        <v>1.5444210526316428E-4</v>
      </c>
      <c r="V77" s="101">
        <f t="shared" ref="V77:V82" si="28">+V76+G77</f>
        <v>1233.5473245614039</v>
      </c>
      <c r="W77" s="50">
        <f t="shared" ref="W77:W82" si="29">+V77/1233.55*100</f>
        <v>99.999783110648451</v>
      </c>
      <c r="X77" s="19"/>
      <c r="AA77" s="54">
        <f t="shared" ref="AA77:AA82" si="30">1-W77/100</f>
        <v>2.1688935154529076E-6</v>
      </c>
      <c r="AB77" s="15"/>
    </row>
    <row r="78" spans="1:28" x14ac:dyDescent="0.25">
      <c r="A78" s="41">
        <v>66</v>
      </c>
      <c r="B78" s="42">
        <v>39601</v>
      </c>
      <c r="C78" s="43"/>
      <c r="D78" s="55">
        <v>1650</v>
      </c>
      <c r="E78" s="56">
        <f>+D78-D77</f>
        <v>30</v>
      </c>
      <c r="F78" s="45">
        <f>+'[1]Con 8hP4'!E98</f>
        <v>0</v>
      </c>
      <c r="G78" s="47">
        <f t="shared" si="18"/>
        <v>0</v>
      </c>
      <c r="H78" s="47">
        <f>+F78/G85</f>
        <v>0</v>
      </c>
      <c r="I78" s="48">
        <f>+G78/G85</f>
        <v>0</v>
      </c>
      <c r="J78" s="49">
        <f t="shared" si="17"/>
        <v>0</v>
      </c>
      <c r="K78" s="45">
        <f t="shared" si="16"/>
        <v>0</v>
      </c>
      <c r="L78" s="51">
        <f t="shared" si="19"/>
        <v>5.7773109243697487</v>
      </c>
      <c r="M78" s="132">
        <f t="shared" si="20"/>
        <v>0</v>
      </c>
      <c r="N78" s="51">
        <f t="shared" si="21"/>
        <v>1.4090324401476612E-8</v>
      </c>
      <c r="O78" s="52">
        <f t="shared" si="22"/>
        <v>1.0390203727981301E-4</v>
      </c>
      <c r="P78" s="51">
        <f t="shared" si="23"/>
        <v>1.4015792994555238E-3</v>
      </c>
      <c r="Q78" s="50">
        <f t="shared" si="24"/>
        <v>7.185803917409754E-4</v>
      </c>
      <c r="R78" s="51">
        <f>+(Q78-M78)^2</f>
        <v>5.1635777939461369E-7</v>
      </c>
      <c r="S78" s="57">
        <f t="shared" si="25"/>
        <v>0</v>
      </c>
      <c r="T78" s="50">
        <f t="shared" si="26"/>
        <v>0</v>
      </c>
      <c r="U78" s="50">
        <f t="shared" si="27"/>
        <v>0</v>
      </c>
      <c r="V78" s="101">
        <f t="shared" si="28"/>
        <v>1233.5473245614039</v>
      </c>
      <c r="W78" s="50">
        <f t="shared" si="29"/>
        <v>99.999783110648451</v>
      </c>
      <c r="X78" s="19"/>
      <c r="AA78" s="54">
        <f t="shared" si="30"/>
        <v>2.1688935154529076E-6</v>
      </c>
      <c r="AB78" s="15"/>
    </row>
    <row r="79" spans="1:28" x14ac:dyDescent="0.25">
      <c r="A79" s="41">
        <v>67</v>
      </c>
      <c r="B79" s="42">
        <v>39601</v>
      </c>
      <c r="C79" s="43"/>
      <c r="D79" s="55">
        <v>1680</v>
      </c>
      <c r="E79" s="56">
        <f>+D79-D78</f>
        <v>30</v>
      </c>
      <c r="F79" s="45">
        <f>+'[1]Con 8hP4'!E99</f>
        <v>0</v>
      </c>
      <c r="G79" s="47">
        <f t="shared" si="18"/>
        <v>0</v>
      </c>
      <c r="H79" s="47">
        <f>+F79/G85</f>
        <v>0</v>
      </c>
      <c r="I79" s="48">
        <f>+G79/G85</f>
        <v>0</v>
      </c>
      <c r="J79" s="49">
        <f t="shared" si="17"/>
        <v>0</v>
      </c>
      <c r="K79" s="45">
        <f>+H79*1000</f>
        <v>0</v>
      </c>
      <c r="L79" s="51">
        <f t="shared" si="19"/>
        <v>5.882352941176471</v>
      </c>
      <c r="M79" s="132">
        <f t="shared" si="20"/>
        <v>0</v>
      </c>
      <c r="N79" s="51">
        <f t="shared" si="21"/>
        <v>6.5096684206794237E-9</v>
      </c>
      <c r="O79" s="52">
        <f t="shared" si="22"/>
        <v>7.2544254336432478E-5</v>
      </c>
      <c r="P79" s="51">
        <f t="shared" si="23"/>
        <v>1.2125530176227014E-3</v>
      </c>
      <c r="Q79" s="50">
        <f t="shared" si="24"/>
        <v>6.1819831117326655E-4</v>
      </c>
      <c r="R79" s="51">
        <f>+(Q79-M79)^2</f>
        <v>3.8216915193747889E-7</v>
      </c>
      <c r="S79" s="57">
        <f t="shared" si="25"/>
        <v>0</v>
      </c>
      <c r="T79" s="50">
        <f t="shared" si="26"/>
        <v>0</v>
      </c>
      <c r="U79" s="50">
        <f t="shared" si="27"/>
        <v>0</v>
      </c>
      <c r="V79" s="101">
        <f t="shared" si="28"/>
        <v>1233.5473245614039</v>
      </c>
      <c r="W79" s="50">
        <f t="shared" si="29"/>
        <v>99.999783110648451</v>
      </c>
      <c r="X79" s="19"/>
      <c r="AA79" s="54">
        <f t="shared" si="30"/>
        <v>2.1688935154529076E-6</v>
      </c>
      <c r="AB79" s="15"/>
    </row>
    <row r="80" spans="1:28" x14ac:dyDescent="0.25">
      <c r="A80" s="41">
        <v>68</v>
      </c>
      <c r="B80" s="42">
        <v>39601</v>
      </c>
      <c r="C80" s="43"/>
      <c r="D80" s="55">
        <v>1710</v>
      </c>
      <c r="E80" s="56">
        <f>+D80-D79</f>
        <v>30</v>
      </c>
      <c r="F80" s="45">
        <f>+'[1]Con 8hP4'!E100</f>
        <v>0</v>
      </c>
      <c r="G80" s="47">
        <f t="shared" si="18"/>
        <v>0</v>
      </c>
      <c r="H80" s="47">
        <f>+F80/G85</f>
        <v>0</v>
      </c>
      <c r="I80" s="48">
        <f>+G80/G85</f>
        <v>0</v>
      </c>
      <c r="J80" s="49">
        <f t="shared" si="17"/>
        <v>0</v>
      </c>
      <c r="K80" s="45">
        <f>+H80*1000</f>
        <v>0</v>
      </c>
      <c r="L80" s="51">
        <f t="shared" si="19"/>
        <v>5.9873949579831942</v>
      </c>
      <c r="M80" s="132">
        <f t="shared" si="20"/>
        <v>0</v>
      </c>
      <c r="N80" s="51">
        <f t="shared" si="21"/>
        <v>2.9573524879670122E-9</v>
      </c>
      <c r="O80" s="52">
        <f t="shared" si="22"/>
        <v>5.0256095214732889E-5</v>
      </c>
      <c r="P80" s="51">
        <f t="shared" si="23"/>
        <v>1.0490357437770036E-3</v>
      </c>
      <c r="Q80" s="50">
        <f t="shared" si="24"/>
        <v>5.3175057079923079E-4</v>
      </c>
      <c r="R80" s="51">
        <f>+(Q80-M80)^2</f>
        <v>2.8275866954530776E-7</v>
      </c>
      <c r="S80" s="57">
        <f t="shared" si="25"/>
        <v>0</v>
      </c>
      <c r="T80" s="50">
        <f t="shared" si="26"/>
        <v>0</v>
      </c>
      <c r="U80" s="50">
        <f t="shared" si="27"/>
        <v>0</v>
      </c>
      <c r="V80" s="101">
        <f t="shared" si="28"/>
        <v>1233.5473245614039</v>
      </c>
      <c r="W80" s="50">
        <f t="shared" si="29"/>
        <v>99.999783110648451</v>
      </c>
      <c r="X80" s="19"/>
      <c r="AA80" s="54">
        <f t="shared" si="30"/>
        <v>2.1688935154529076E-6</v>
      </c>
      <c r="AB80" s="15"/>
    </row>
    <row r="81" spans="1:28" x14ac:dyDescent="0.25">
      <c r="A81" s="41">
        <v>69</v>
      </c>
      <c r="B81" s="42">
        <v>39601</v>
      </c>
      <c r="C81" s="43"/>
      <c r="D81" s="55">
        <v>1740</v>
      </c>
      <c r="E81" s="56">
        <f>+D81-D80</f>
        <v>30</v>
      </c>
      <c r="F81" s="45">
        <f>+'[1]Con 8hP4'!E101</f>
        <v>0</v>
      </c>
      <c r="G81" s="47">
        <f t="shared" si="18"/>
        <v>0</v>
      </c>
      <c r="H81" s="47">
        <f>+F81/G85</f>
        <v>0</v>
      </c>
      <c r="I81" s="48">
        <f>+G81/G85</f>
        <v>0</v>
      </c>
      <c r="J81" s="49">
        <v>0</v>
      </c>
      <c r="K81" s="45">
        <f>+H81*1000</f>
        <v>0</v>
      </c>
      <c r="L81" s="51">
        <f t="shared" si="19"/>
        <v>6.0924369747899165</v>
      </c>
      <c r="M81" s="132">
        <f t="shared" si="20"/>
        <v>0</v>
      </c>
      <c r="N81" s="51">
        <f t="shared" si="21"/>
        <v>1.3211546657280187E-9</v>
      </c>
      <c r="O81" s="52">
        <f t="shared" si="22"/>
        <v>3.4544684100607339E-5</v>
      </c>
      <c r="P81" s="51">
        <f t="shared" si="23"/>
        <v>9.0758468814685126E-4</v>
      </c>
      <c r="Q81" s="50">
        <f t="shared" si="24"/>
        <v>4.5731803488055538E-4</v>
      </c>
      <c r="R81" s="51">
        <f>+(Q81-M81)^2</f>
        <v>2.0913978502701288E-7</v>
      </c>
      <c r="S81" s="57">
        <f t="shared" si="25"/>
        <v>0</v>
      </c>
      <c r="T81" s="50">
        <f t="shared" si="26"/>
        <v>0</v>
      </c>
      <c r="U81" s="50">
        <f t="shared" si="27"/>
        <v>0</v>
      </c>
      <c r="V81" s="101">
        <f t="shared" si="28"/>
        <v>1233.5473245614039</v>
      </c>
      <c r="W81" s="50">
        <f t="shared" si="29"/>
        <v>99.999783110648451</v>
      </c>
      <c r="X81" s="19"/>
      <c r="AA81" s="54">
        <f t="shared" si="30"/>
        <v>2.1688935154529076E-6</v>
      </c>
      <c r="AB81" s="15"/>
    </row>
    <row r="82" spans="1:28" x14ac:dyDescent="0.25">
      <c r="A82" s="41">
        <v>70</v>
      </c>
      <c r="B82" s="42">
        <v>39601</v>
      </c>
      <c r="C82" s="43"/>
      <c r="D82" s="55">
        <v>1770</v>
      </c>
      <c r="E82" s="56">
        <f>+D82-D81</f>
        <v>30</v>
      </c>
      <c r="F82" s="45">
        <f>+'[1]Con 8hP4'!E102</f>
        <v>0</v>
      </c>
      <c r="G82" s="47">
        <f t="shared" si="18"/>
        <v>0</v>
      </c>
      <c r="H82" s="47">
        <f>+F82/G85</f>
        <v>0</v>
      </c>
      <c r="I82" s="48">
        <f>+G82/G85</f>
        <v>0</v>
      </c>
      <c r="J82" s="49">
        <f t="shared" si="17"/>
        <v>0</v>
      </c>
      <c r="K82" s="45">
        <f>+H82*1000</f>
        <v>0</v>
      </c>
      <c r="L82" s="51">
        <f t="shared" si="19"/>
        <v>6.1974789915966397</v>
      </c>
      <c r="M82" s="132">
        <f t="shared" si="20"/>
        <v>0</v>
      </c>
      <c r="N82" s="51">
        <f t="shared" si="21"/>
        <v>5.8037751978557807E-10</v>
      </c>
      <c r="O82" s="52">
        <f t="shared" si="22"/>
        <v>2.3560281338651568E-5</v>
      </c>
      <c r="P82" s="51">
        <f t="shared" si="23"/>
        <v>7.8522135130220511E-4</v>
      </c>
      <c r="Q82" s="50">
        <f t="shared" si="24"/>
        <v>3.9324326381346764E-4</v>
      </c>
      <c r="R82" s="51">
        <f>+(Q82-M82)^2</f>
        <v>1.5464026453466852E-7</v>
      </c>
      <c r="S82" s="57">
        <f t="shared" si="25"/>
        <v>0</v>
      </c>
      <c r="T82" s="137">
        <f t="shared" si="26"/>
        <v>0</v>
      </c>
      <c r="U82" s="50">
        <f t="shared" si="27"/>
        <v>0</v>
      </c>
      <c r="V82" s="101">
        <f t="shared" si="28"/>
        <v>1233.5473245614039</v>
      </c>
      <c r="W82" s="50">
        <f t="shared" si="29"/>
        <v>99.999783110648451</v>
      </c>
      <c r="X82" s="19"/>
      <c r="AA82" s="54">
        <f t="shared" si="30"/>
        <v>2.1688935154529076E-6</v>
      </c>
      <c r="AB82" s="15"/>
    </row>
    <row r="83" spans="1:28" x14ac:dyDescent="0.25">
      <c r="F83" s="54">
        <f>+MAX(F12:F80)</f>
        <v>3.4211140350877192</v>
      </c>
      <c r="Q83" s="53" t="s">
        <v>81</v>
      </c>
      <c r="R83" s="19">
        <f>SUM(R12:R82)</f>
        <v>0.72635688282411737</v>
      </c>
      <c r="S83" s="53">
        <f>SUM(S12:S82)</f>
        <v>1292.7575961403511</v>
      </c>
      <c r="T83" s="53">
        <f>SUM(T12:T82)</f>
        <v>103.42060769122804</v>
      </c>
      <c r="U83" s="53">
        <f>SUM(U12:U82)</f>
        <v>103.42060769122804</v>
      </c>
      <c r="V83" s="53"/>
      <c r="W83" s="53"/>
      <c r="X83" s="19"/>
    </row>
    <row r="84" spans="1:28" x14ac:dyDescent="0.25">
      <c r="Q84" s="19" t="s">
        <v>82</v>
      </c>
      <c r="R84" s="19"/>
      <c r="S84" s="53">
        <f>+S83/(5000*0.25)*100</f>
        <v>103.4206076912281</v>
      </c>
      <c r="T84" s="19"/>
      <c r="U84" s="12"/>
      <c r="V84" s="53"/>
      <c r="W84" s="19" t="e">
        <f ca="1">+PERCENTIL10(D12:D82,W12:W82)</f>
        <v>#NAME?</v>
      </c>
      <c r="X84" s="19"/>
    </row>
    <row r="85" spans="1:28" x14ac:dyDescent="0.25">
      <c r="F85" t="s">
        <v>64</v>
      </c>
      <c r="G85" s="54">
        <f>SUM(G12:G80)</f>
        <v>1233.5473245614039</v>
      </c>
      <c r="I85" s="138" t="s">
        <v>83</v>
      </c>
      <c r="J85" s="9">
        <f>SUM(J12:J82)</f>
        <v>327.51508673157298</v>
      </c>
      <c r="T85" s="19"/>
      <c r="U85" s="12"/>
      <c r="V85" s="53"/>
      <c r="W85" s="19"/>
      <c r="X85" s="19"/>
    </row>
    <row r="86" spans="1:28" x14ac:dyDescent="0.25">
      <c r="M86" s="3" t="s">
        <v>126</v>
      </c>
      <c r="N86" s="15">
        <f>+CORREL(M12:M82,N12:N82)</f>
        <v>0.75427345096619658</v>
      </c>
      <c r="O86" s="15"/>
      <c r="P86" s="15">
        <f>+CORREL(M13:M82,P13:P82)</f>
        <v>0.45512347588253105</v>
      </c>
      <c r="Q86" s="15">
        <f>+CORREL(M12:M82,Q12:Q82)</f>
        <v>0.94316218878078772</v>
      </c>
      <c r="T86" s="19"/>
      <c r="U86" s="12"/>
      <c r="V86" s="53"/>
      <c r="W86" s="19" t="e">
        <f>+PERCENTILE(W12:W82,10)</f>
        <v>#NUM!</v>
      </c>
      <c r="X86" s="19"/>
    </row>
    <row r="87" spans="1:28" x14ac:dyDescent="0.25">
      <c r="H87" t="s">
        <v>84</v>
      </c>
      <c r="J87" s="9">
        <f>+J85/60</f>
        <v>5.4585847788595494</v>
      </c>
      <c r="M87" s="3" t="s">
        <v>127</v>
      </c>
      <c r="N87" s="15">
        <f>+N86^2</f>
        <v>0.56892843883245536</v>
      </c>
      <c r="O87" s="15"/>
      <c r="P87" s="15">
        <f>+P86^2</f>
        <v>0.20713737829939682</v>
      </c>
      <c r="Q87" s="15">
        <f>+Q86^2</f>
        <v>0.88955491434576628</v>
      </c>
      <c r="T87" s="19"/>
      <c r="U87" s="12"/>
      <c r="V87" s="53"/>
      <c r="W87" s="19"/>
      <c r="X87" s="19"/>
    </row>
    <row r="88" spans="1:28" x14ac:dyDescent="0.25">
      <c r="H88" t="s">
        <v>85</v>
      </c>
      <c r="J88" s="54">
        <f>+J87/J6</f>
        <v>1.3065528786907878</v>
      </c>
      <c r="M88" s="3" t="s">
        <v>128</v>
      </c>
      <c r="N88" s="15">
        <f>1-((1-N87^2)*(70-1)/(70-2))</f>
        <v>0.31373367981398692</v>
      </c>
      <c r="O88" s="15"/>
      <c r="P88" s="15">
        <f>1-((1-P87^2)*(70-1)/(70-2))</f>
        <v>2.8830980157699582E-2</v>
      </c>
      <c r="Q88" s="15">
        <f>1-((1-Q87^2)*(70-1)/(70-2))</f>
        <v>0.78823894483724333</v>
      </c>
      <c r="T88" s="19"/>
      <c r="U88" s="12"/>
      <c r="V88" s="53"/>
      <c r="W88" s="19"/>
      <c r="X88" s="19"/>
    </row>
    <row r="89" spans="1:28" x14ac:dyDescent="0.25">
      <c r="M89" s="3" t="s">
        <v>129</v>
      </c>
      <c r="N89" s="15">
        <f>+STDEV(N12:N82,M12:M82)</f>
        <v>0.24103457278194984</v>
      </c>
      <c r="O89" s="15"/>
      <c r="P89" s="15">
        <f>+STDEV(M13:M82,P13:P82)</f>
        <v>0.26963238438318804</v>
      </c>
      <c r="Q89" s="15">
        <f>+STDEV(Q12:Q82,M12:M82)</f>
        <v>0.26429684800491637</v>
      </c>
      <c r="T89" s="3"/>
      <c r="U89" s="3"/>
      <c r="V89" s="3"/>
      <c r="W89" s="139">
        <f>+(1.083*1083.8)/(288.9*1000*0.003249)</f>
        <v>1.2504903657551631</v>
      </c>
      <c r="X89" s="3"/>
    </row>
    <row r="90" spans="1:28" x14ac:dyDescent="0.25">
      <c r="T90" s="3"/>
      <c r="U90" s="3"/>
      <c r="V90" s="3"/>
      <c r="W90" s="19"/>
      <c r="X90" s="3"/>
    </row>
    <row r="121" spans="13:14" x14ac:dyDescent="0.25">
      <c r="M121">
        <v>0.5</v>
      </c>
      <c r="N121">
        <v>0.5</v>
      </c>
    </row>
    <row r="122" spans="13:14" x14ac:dyDescent="0.25">
      <c r="M122">
        <v>0.4</v>
      </c>
      <c r="N122">
        <v>1</v>
      </c>
    </row>
    <row r="123" spans="13:14" x14ac:dyDescent="0.25">
      <c r="M123">
        <v>0.9</v>
      </c>
      <c r="N123">
        <v>2</v>
      </c>
    </row>
    <row r="124" spans="13:14" x14ac:dyDescent="0.25">
      <c r="M124">
        <v>1.2</v>
      </c>
      <c r="N124">
        <v>3</v>
      </c>
    </row>
    <row r="125" spans="13:14" x14ac:dyDescent="0.25">
      <c r="M125">
        <v>2.5</v>
      </c>
      <c r="N125">
        <v>5</v>
      </c>
    </row>
    <row r="126" spans="13:14" x14ac:dyDescent="0.25">
      <c r="M126">
        <v>3.2</v>
      </c>
      <c r="N126">
        <v>6</v>
      </c>
    </row>
  </sheetData>
  <mergeCells count="2">
    <mergeCell ref="L9:M9"/>
    <mergeCell ref="N9:O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118"/>
  <sheetViews>
    <sheetView workbookViewId="0">
      <selection activeCell="M3" sqref="M3"/>
    </sheetView>
  </sheetViews>
  <sheetFormatPr baseColWidth="10" defaultRowHeight="15" x14ac:dyDescent="0.25"/>
  <cols>
    <col min="1" max="1" width="4" customWidth="1"/>
    <col min="4" max="4" width="8" customWidth="1"/>
    <col min="5" max="5" width="12.7109375" customWidth="1"/>
    <col min="6" max="6" width="11.140625" customWidth="1"/>
    <col min="8" max="8" width="12.42578125" bestFit="1" customWidth="1"/>
    <col min="11" max="12" width="12.42578125" bestFit="1" customWidth="1"/>
    <col min="13" max="13" width="12.5703125" customWidth="1"/>
    <col min="14" max="14" width="9.42578125" customWidth="1"/>
    <col min="15" max="15" width="9.7109375" style="8" customWidth="1"/>
    <col min="16" max="16" width="11.28515625" customWidth="1"/>
    <col min="17" max="17" width="12.42578125" bestFit="1" customWidth="1"/>
    <col min="18" max="22" width="8.140625" customWidth="1"/>
    <col min="23" max="23" width="8.28515625" customWidth="1"/>
    <col min="24" max="24" width="9" customWidth="1"/>
    <col min="25" max="25" width="10.42578125" customWidth="1"/>
    <col min="26" max="26" width="12.85546875" customWidth="1"/>
  </cols>
  <sheetData>
    <row r="2" spans="1:28" x14ac:dyDescent="0.25">
      <c r="A2" t="s">
        <v>20</v>
      </c>
      <c r="L2" s="6"/>
      <c r="M2" s="7"/>
      <c r="N2" s="7"/>
    </row>
    <row r="3" spans="1:28" x14ac:dyDescent="0.25">
      <c r="A3" s="3" t="s">
        <v>21</v>
      </c>
      <c r="F3" s="3" t="s">
        <v>22</v>
      </c>
      <c r="I3" s="5">
        <f>(1.184*0.884*0.515)*1000-23.21</f>
        <v>515.81784000000005</v>
      </c>
      <c r="K3" s="5"/>
      <c r="L3" s="6"/>
      <c r="M3" s="9"/>
      <c r="N3" s="10"/>
      <c r="O3" s="11"/>
      <c r="P3" s="12"/>
      <c r="Q3" s="9"/>
    </row>
    <row r="4" spans="1:28" x14ac:dyDescent="0.25">
      <c r="A4" s="13" t="s">
        <v>23</v>
      </c>
      <c r="F4" t="s">
        <v>24</v>
      </c>
      <c r="L4" s="6">
        <f>10.24*60</f>
        <v>614.4</v>
      </c>
      <c r="M4" s="14"/>
      <c r="P4" s="12"/>
    </row>
    <row r="5" spans="1:28" x14ac:dyDescent="0.25">
      <c r="A5" s="3" t="s">
        <v>25</v>
      </c>
      <c r="F5" t="s">
        <v>26</v>
      </c>
      <c r="M5" s="15"/>
      <c r="O5" s="16"/>
      <c r="P5" s="12"/>
    </row>
    <row r="6" spans="1:28" x14ac:dyDescent="0.25">
      <c r="A6" s="3" t="s">
        <v>27</v>
      </c>
      <c r="F6" s="3" t="s">
        <v>28</v>
      </c>
      <c r="J6" s="15">
        <f>+(250*5000)/(I3*1000)</f>
        <v>2.4233361141599907</v>
      </c>
      <c r="K6" t="s">
        <v>29</v>
      </c>
      <c r="M6" s="17"/>
      <c r="O6" s="18"/>
      <c r="P6" s="19"/>
    </row>
    <row r="7" spans="1:28" x14ac:dyDescent="0.25">
      <c r="A7" s="3" t="s">
        <v>30</v>
      </c>
      <c r="C7" s="15">
        <f>+M110</f>
        <v>10.239705291815552</v>
      </c>
      <c r="D7">
        <f>+C7*60</f>
        <v>614.38231750893317</v>
      </c>
      <c r="E7" s="15"/>
      <c r="F7" s="3" t="s">
        <v>31</v>
      </c>
      <c r="J7" s="5">
        <f>+M109</f>
        <v>839.57142857142856</v>
      </c>
    </row>
    <row r="8" spans="1:28" x14ac:dyDescent="0.25">
      <c r="D8" s="20">
        <v>1</v>
      </c>
      <c r="E8" s="20">
        <v>2</v>
      </c>
      <c r="F8" s="20">
        <v>4</v>
      </c>
      <c r="G8" s="20">
        <v>6</v>
      </c>
      <c r="H8" s="20">
        <v>7</v>
      </c>
    </row>
    <row r="9" spans="1:28" x14ac:dyDescent="0.25">
      <c r="A9" s="21" t="s">
        <v>32</v>
      </c>
      <c r="B9" s="22"/>
      <c r="C9" s="22"/>
      <c r="D9" s="22"/>
      <c r="E9" s="22"/>
      <c r="F9" s="22"/>
      <c r="G9" s="23" t="s">
        <v>33</v>
      </c>
      <c r="H9" s="24" t="s">
        <v>34</v>
      </c>
      <c r="I9" s="22"/>
      <c r="J9" s="22"/>
      <c r="K9" s="24" t="s">
        <v>34</v>
      </c>
      <c r="L9" s="165" t="s">
        <v>35</v>
      </c>
      <c r="M9" s="166"/>
      <c r="N9" s="25" t="s">
        <v>36</v>
      </c>
      <c r="O9" s="26"/>
      <c r="P9" s="27" t="s">
        <v>37</v>
      </c>
      <c r="Q9" s="28" t="s">
        <v>38</v>
      </c>
      <c r="R9" s="29" t="s">
        <v>39</v>
      </c>
      <c r="S9" s="30" t="s">
        <v>40</v>
      </c>
      <c r="T9" s="30" t="s">
        <v>41</v>
      </c>
      <c r="U9" s="30"/>
      <c r="V9" s="30"/>
      <c r="W9" s="30"/>
    </row>
    <row r="10" spans="1:28" x14ac:dyDescent="0.25">
      <c r="A10" s="31"/>
      <c r="B10" s="32" t="s">
        <v>42</v>
      </c>
      <c r="C10" s="32" t="s">
        <v>43</v>
      </c>
      <c r="D10" s="32" t="s">
        <v>44</v>
      </c>
      <c r="E10" s="32" t="s">
        <v>45</v>
      </c>
      <c r="F10" s="33" t="s">
        <v>46</v>
      </c>
      <c r="G10" s="32" t="s">
        <v>47</v>
      </c>
      <c r="H10" s="32" t="s">
        <v>48</v>
      </c>
      <c r="I10" s="32" t="s">
        <v>49</v>
      </c>
      <c r="J10" s="32" t="s">
        <v>50</v>
      </c>
      <c r="K10" s="32" t="s">
        <v>51</v>
      </c>
      <c r="L10" s="28" t="s">
        <v>52</v>
      </c>
      <c r="M10" s="34" t="s">
        <v>53</v>
      </c>
      <c r="N10" s="28" t="s">
        <v>54</v>
      </c>
      <c r="O10" s="35" t="s">
        <v>55</v>
      </c>
      <c r="P10" s="27" t="s">
        <v>56</v>
      </c>
      <c r="Q10" s="28" t="s">
        <v>57</v>
      </c>
      <c r="U10" t="s">
        <v>58</v>
      </c>
      <c r="V10" t="s">
        <v>59</v>
      </c>
      <c r="Z10" t="s">
        <v>60</v>
      </c>
      <c r="AA10" s="20" t="s">
        <v>61</v>
      </c>
      <c r="AB10" t="s">
        <v>62</v>
      </c>
    </row>
    <row r="11" spans="1:28" x14ac:dyDescent="0.25">
      <c r="A11" s="36"/>
      <c r="B11" s="37"/>
      <c r="C11" s="37"/>
      <c r="D11" s="37"/>
      <c r="E11" s="37"/>
      <c r="F11" s="38" t="s">
        <v>63</v>
      </c>
      <c r="G11" s="37" t="s">
        <v>64</v>
      </c>
      <c r="H11" s="37" t="s">
        <v>65</v>
      </c>
      <c r="I11" s="37" t="s">
        <v>66</v>
      </c>
      <c r="J11" s="37" t="s">
        <v>67</v>
      </c>
      <c r="K11" s="37" t="s">
        <v>65</v>
      </c>
      <c r="L11" s="33" t="s">
        <v>68</v>
      </c>
      <c r="M11" s="2" t="s">
        <v>61</v>
      </c>
      <c r="N11" s="38"/>
      <c r="O11" s="39"/>
      <c r="P11" s="40"/>
      <c r="Q11" s="38"/>
      <c r="R11" s="3"/>
      <c r="S11" s="3"/>
      <c r="T11" s="3"/>
      <c r="U11" s="3"/>
      <c r="V11" s="3"/>
      <c r="W11" s="3"/>
      <c r="Z11" s="20" t="s">
        <v>69</v>
      </c>
      <c r="AA11" s="20" t="s">
        <v>70</v>
      </c>
    </row>
    <row r="12" spans="1:28" x14ac:dyDescent="0.25">
      <c r="A12" s="41">
        <v>0</v>
      </c>
      <c r="B12" s="42">
        <v>39604</v>
      </c>
      <c r="C12" s="43">
        <v>0.28472222222222221</v>
      </c>
      <c r="D12" s="44">
        <v>0</v>
      </c>
      <c r="E12" s="41">
        <v>0</v>
      </c>
      <c r="F12" s="45">
        <f>+'[1]Con 10hE'!E13</f>
        <v>0</v>
      </c>
      <c r="G12" s="46">
        <f>+F12*E12</f>
        <v>0</v>
      </c>
      <c r="H12" s="47">
        <f>+F12/G91</f>
        <v>0</v>
      </c>
      <c r="I12" s="48">
        <f t="shared" ref="I12:I75" si="0">+H12*E12</f>
        <v>0</v>
      </c>
      <c r="J12" s="49">
        <f t="shared" ref="J12:J75" si="1">+D12*I12</f>
        <v>0</v>
      </c>
      <c r="K12" s="45">
        <f>+H12*1000</f>
        <v>0</v>
      </c>
      <c r="L12" s="50">
        <f>+D12/(10.24*60)</f>
        <v>0</v>
      </c>
      <c r="M12" s="50">
        <f>+F12/2.423</f>
        <v>0</v>
      </c>
      <c r="N12" s="51">
        <f>+(1/(2*SQRT(3.1416*0.1542))*EXP(-((1-L12)^2/(4*0.1542))))</f>
        <v>0.14198526983778209</v>
      </c>
      <c r="O12" s="52">
        <f>+(1/(2*SQRT(3.1416*0.1902))*EXP(-((1-L12)^2/(4*0.1902))))</f>
        <v>0.17376010867524297</v>
      </c>
      <c r="P12" s="51" t="e">
        <f>+(1/(2*SQRT(3.1416*0.1078))*EXP(-((1-L12)^2/(4*L12*0.1078))))</f>
        <v>#DIV/0!</v>
      </c>
      <c r="Q12" s="50">
        <f>+(3.6308*(3.2417*L12)^(3.2417-1)/FACT(3.2417-1))*EXP(-3.2417*L12)</f>
        <v>0</v>
      </c>
      <c r="R12" s="3">
        <f>834/1000*F12*E12</f>
        <v>0</v>
      </c>
      <c r="S12" s="19">
        <f>+R12/(5000*0.25)*100</f>
        <v>0</v>
      </c>
      <c r="T12" s="19">
        <f>+T11+S12</f>
        <v>0</v>
      </c>
      <c r="U12" s="53">
        <f>+G12</f>
        <v>0</v>
      </c>
      <c r="V12" s="19">
        <f>+U12/1441.13</f>
        <v>0</v>
      </c>
      <c r="W12" s="19"/>
      <c r="Z12" s="54">
        <f>1-V12/100</f>
        <v>1</v>
      </c>
      <c r="AA12" s="7">
        <f>2.423*EXP(-(1/0.8654)*(L12-(1-0.8654)))</f>
        <v>2.8307493215634629</v>
      </c>
      <c r="AB12" t="e">
        <f>+LN(M12)</f>
        <v>#NUM!</v>
      </c>
    </row>
    <row r="13" spans="1:28" x14ac:dyDescent="0.25">
      <c r="A13" s="41">
        <v>1</v>
      </c>
      <c r="B13" s="42">
        <v>39604</v>
      </c>
      <c r="C13" s="43"/>
      <c r="D13" s="55">
        <v>5</v>
      </c>
      <c r="E13" s="56">
        <f>+D13-D12</f>
        <v>5</v>
      </c>
      <c r="F13" s="45">
        <f>+'[1]Con 10hE'!E14</f>
        <v>0</v>
      </c>
      <c r="G13" s="47">
        <f t="shared" ref="G13:G76" si="2">+F13*E13</f>
        <v>0</v>
      </c>
      <c r="H13" s="47">
        <f>+F13/G91</f>
        <v>0</v>
      </c>
      <c r="I13" s="48">
        <f t="shared" si="0"/>
        <v>0</v>
      </c>
      <c r="J13" s="49">
        <f t="shared" si="1"/>
        <v>0</v>
      </c>
      <c r="K13" s="45">
        <f>+H13*1000</f>
        <v>0</v>
      </c>
      <c r="L13" s="50">
        <f t="shared" ref="L13:L76" si="3">+D13/(10.24*60)</f>
        <v>8.1380208333333339E-3</v>
      </c>
      <c r="M13" s="50">
        <f t="shared" ref="M13:M76" si="4">+F13/2.423</f>
        <v>0</v>
      </c>
      <c r="N13" s="51">
        <f t="shared" ref="N13:N76" si="5">+(1/(2*SQRT(3.1416*0.1542))*EXP(-((1-L13)^2/(4*0.1542))))</f>
        <v>0.14576617863876717</v>
      </c>
      <c r="O13" s="52">
        <f t="shared" ref="O13:O76" si="6">+(1/(2*SQRT(3.1416*0.1902))*EXP(-((1-L13)^2/(4*0.1902))))</f>
        <v>0.1775020108395563</v>
      </c>
      <c r="P13" s="51">
        <f t="shared" ref="P13:P76" si="7">+(1/(2*SQRT(3.1416*L13*0.1078))*EXP(-((1-L13)^2/(4*L13*0.1078))))</f>
        <v>1.6716333141515611E-121</v>
      </c>
      <c r="Q13" s="50">
        <f t="shared" ref="Q13:Q76" si="8">+(3.6308*(3.2417*L13)^(3.2417-1)/FACT(3.2417-1))*EXP(-3.2417*L13)</f>
        <v>5.1112205302432444E-4</v>
      </c>
      <c r="R13" s="3">
        <f>834/1000*F13*E13</f>
        <v>0</v>
      </c>
      <c r="S13" s="19">
        <f t="shared" ref="S13:S76" si="9">+R13/(5000*0.25)*100</f>
        <v>0</v>
      </c>
      <c r="T13" s="12">
        <f>+T12+S13</f>
        <v>0</v>
      </c>
      <c r="U13" s="53">
        <f t="shared" ref="U13:U76" si="10">+U12+G13</f>
        <v>0</v>
      </c>
      <c r="V13" s="19">
        <f t="shared" ref="V13:V76" si="11">+U13/1441.13*100</f>
        <v>0</v>
      </c>
      <c r="W13" s="19"/>
      <c r="Z13" s="54">
        <f t="shared" ref="Z13:Z76" si="12">1-V13/100</f>
        <v>1</v>
      </c>
      <c r="AA13" s="7">
        <f t="shared" ref="AA13:AA76" si="13">2.423*EXP(-(1/0.8654)*(L13-(1-0.8654)))</f>
        <v>2.8042543830321285</v>
      </c>
      <c r="AB13" t="e">
        <f t="shared" ref="AB13:AB76" si="14">+LN(M13)</f>
        <v>#NUM!</v>
      </c>
    </row>
    <row r="14" spans="1:28" x14ac:dyDescent="0.25">
      <c r="A14" s="41">
        <v>2</v>
      </c>
      <c r="B14" s="42">
        <v>39604</v>
      </c>
      <c r="C14" s="43"/>
      <c r="D14" s="55">
        <v>10</v>
      </c>
      <c r="E14" s="56">
        <f t="shared" ref="E14:E77" si="15">+D14-D13</f>
        <v>5</v>
      </c>
      <c r="F14" s="45">
        <f>+'[1]Con 10hE'!E15</f>
        <v>0</v>
      </c>
      <c r="G14" s="57">
        <f t="shared" si="2"/>
        <v>0</v>
      </c>
      <c r="H14" s="57">
        <f>+F14/G91</f>
        <v>0</v>
      </c>
      <c r="I14" s="48">
        <f t="shared" si="0"/>
        <v>0</v>
      </c>
      <c r="J14" s="50">
        <f t="shared" si="1"/>
        <v>0</v>
      </c>
      <c r="K14" s="58">
        <f>+H14*1000</f>
        <v>0</v>
      </c>
      <c r="L14" s="50">
        <f t="shared" si="3"/>
        <v>1.6276041666666668E-2</v>
      </c>
      <c r="M14" s="50">
        <f t="shared" si="4"/>
        <v>0</v>
      </c>
      <c r="N14" s="51">
        <f t="shared" si="5"/>
        <v>0.14961563613687245</v>
      </c>
      <c r="O14" s="52">
        <f t="shared" si="6"/>
        <v>0.18129292867388888</v>
      </c>
      <c r="P14" s="51">
        <f t="shared" si="7"/>
        <v>8.8175962608176232E-60</v>
      </c>
      <c r="Q14" s="50">
        <f t="shared" si="8"/>
        <v>2.3544335000763869E-3</v>
      </c>
      <c r="R14" s="3">
        <f>834/1000*F14*E14</f>
        <v>0</v>
      </c>
      <c r="S14" s="19">
        <f t="shared" si="9"/>
        <v>0</v>
      </c>
      <c r="T14" s="12">
        <f t="shared" ref="T14:T77" si="16">+T13+S14</f>
        <v>0</v>
      </c>
      <c r="U14" s="53">
        <f t="shared" si="10"/>
        <v>0</v>
      </c>
      <c r="V14" s="19">
        <f t="shared" si="11"/>
        <v>0</v>
      </c>
      <c r="W14" s="19"/>
      <c r="Z14" s="54">
        <f t="shared" si="12"/>
        <v>1</v>
      </c>
      <c r="AA14" s="7">
        <f t="shared" si="13"/>
        <v>2.7780074289346088</v>
      </c>
      <c r="AB14" t="e">
        <f t="shared" si="14"/>
        <v>#NUM!</v>
      </c>
    </row>
    <row r="15" spans="1:28" x14ac:dyDescent="0.25">
      <c r="A15" s="41">
        <v>3</v>
      </c>
      <c r="B15" s="42">
        <v>39604</v>
      </c>
      <c r="C15" s="43"/>
      <c r="D15" s="55">
        <v>15</v>
      </c>
      <c r="E15" s="56">
        <f t="shared" si="15"/>
        <v>5</v>
      </c>
      <c r="F15" s="59">
        <f>+'[1]Con 10hE'!E16</f>
        <v>1.2061403508771933E-2</v>
      </c>
      <c r="G15" s="60">
        <f t="shared" si="2"/>
        <v>6.0307017543859663E-2</v>
      </c>
      <c r="H15" s="60">
        <f>+F15/G91</f>
        <v>8.3694143859885635E-6</v>
      </c>
      <c r="I15" s="48">
        <f t="shared" si="0"/>
        <v>4.1847071929942818E-5</v>
      </c>
      <c r="J15" s="61">
        <f t="shared" si="1"/>
        <v>6.2770607894914226E-4</v>
      </c>
      <c r="K15" s="59">
        <f t="shared" ref="K15:K78" si="17">+H15*1000</f>
        <v>8.3694143859885627E-3</v>
      </c>
      <c r="L15" s="50">
        <f t="shared" si="3"/>
        <v>2.44140625E-2</v>
      </c>
      <c r="M15" s="50">
        <f t="shared" si="4"/>
        <v>4.9778801109252712E-3</v>
      </c>
      <c r="N15" s="51">
        <f t="shared" si="5"/>
        <v>0.15353377764143869</v>
      </c>
      <c r="O15" s="52">
        <f t="shared" si="6"/>
        <v>0.18513257503603459</v>
      </c>
      <c r="P15" s="51">
        <f t="shared" si="7"/>
        <v>2.9928275610218591E-39</v>
      </c>
      <c r="Q15" s="50">
        <f t="shared" si="8"/>
        <v>5.6907967076588488E-3</v>
      </c>
      <c r="R15" s="3">
        <f>839.6/1000*F15*E15</f>
        <v>5.0633771929824573E-2</v>
      </c>
      <c r="S15" s="19">
        <f t="shared" si="9"/>
        <v>4.0507017543859655E-3</v>
      </c>
      <c r="T15" s="12">
        <f t="shared" si="16"/>
        <v>4.0507017543859655E-3</v>
      </c>
      <c r="U15" s="53">
        <f t="shared" si="10"/>
        <v>6.0307017543859663E-2</v>
      </c>
      <c r="V15" s="19">
        <f t="shared" si="11"/>
        <v>4.1847034996051477E-3</v>
      </c>
      <c r="W15" s="19"/>
      <c r="X15" s="62" t="s">
        <v>71</v>
      </c>
      <c r="Z15" s="54">
        <f t="shared" si="12"/>
        <v>0.9999581529650039</v>
      </c>
      <c r="AA15" s="7">
        <f t="shared" si="13"/>
        <v>2.7520061382132672</v>
      </c>
      <c r="AB15">
        <f t="shared" si="14"/>
        <v>-5.3027511591103496</v>
      </c>
    </row>
    <row r="16" spans="1:28" x14ac:dyDescent="0.25">
      <c r="A16" s="41">
        <v>4</v>
      </c>
      <c r="B16" s="42">
        <v>39604</v>
      </c>
      <c r="C16" s="43"/>
      <c r="D16" s="63">
        <v>20</v>
      </c>
      <c r="E16" s="56">
        <f t="shared" si="15"/>
        <v>5</v>
      </c>
      <c r="F16" s="45">
        <f>+'[1]Con 10hE'!E17</f>
        <v>0</v>
      </c>
      <c r="G16" s="47">
        <f t="shared" si="2"/>
        <v>0</v>
      </c>
      <c r="H16" s="47">
        <f>+F16/G91</f>
        <v>0</v>
      </c>
      <c r="I16" s="48">
        <f t="shared" si="0"/>
        <v>0</v>
      </c>
      <c r="J16" s="49">
        <f t="shared" si="1"/>
        <v>0</v>
      </c>
      <c r="K16" s="45">
        <f t="shared" si="17"/>
        <v>0</v>
      </c>
      <c r="L16" s="50">
        <f t="shared" si="3"/>
        <v>3.2552083333333336E-2</v>
      </c>
      <c r="M16" s="50">
        <f t="shared" si="4"/>
        <v>0</v>
      </c>
      <c r="N16" s="51">
        <f t="shared" si="5"/>
        <v>0.15752069719768536</v>
      </c>
      <c r="O16" s="52">
        <f t="shared" si="6"/>
        <v>0.18902063095919217</v>
      </c>
      <c r="P16" s="51">
        <f t="shared" si="7"/>
        <v>5.2348310800147517E-29</v>
      </c>
      <c r="Q16" s="50">
        <f t="shared" si="8"/>
        <v>1.0563093040327102E-2</v>
      </c>
      <c r="R16" s="3">
        <f t="shared" ref="R16:R30" si="18">834/1000*F16*E16</f>
        <v>0</v>
      </c>
      <c r="S16" s="19">
        <f t="shared" si="9"/>
        <v>0</v>
      </c>
      <c r="T16" s="12">
        <f t="shared" si="16"/>
        <v>4.0507017543859655E-3</v>
      </c>
      <c r="U16" s="53">
        <f t="shared" si="10"/>
        <v>6.0307017543859663E-2</v>
      </c>
      <c r="V16" s="19">
        <f t="shared" si="11"/>
        <v>4.1847034996051477E-3</v>
      </c>
      <c r="W16" s="19"/>
      <c r="X16" s="3"/>
      <c r="Z16" s="54">
        <f t="shared" si="12"/>
        <v>0.9999581529650039</v>
      </c>
      <c r="AA16" s="7">
        <f t="shared" si="13"/>
        <v>2.7262482115348483</v>
      </c>
      <c r="AB16" t="e">
        <f t="shared" si="14"/>
        <v>#NUM!</v>
      </c>
    </row>
    <row r="17" spans="1:28" x14ac:dyDescent="0.25">
      <c r="A17" s="41">
        <v>5</v>
      </c>
      <c r="B17" s="42">
        <v>39604</v>
      </c>
      <c r="C17" s="43"/>
      <c r="D17" s="55">
        <v>25</v>
      </c>
      <c r="E17" s="56">
        <f t="shared" si="15"/>
        <v>5</v>
      </c>
      <c r="F17" s="45">
        <f>+'[1]Con 10hE'!E18</f>
        <v>0</v>
      </c>
      <c r="G17" s="57">
        <f t="shared" si="2"/>
        <v>0</v>
      </c>
      <c r="H17" s="57">
        <f>+F17/G91</f>
        <v>0</v>
      </c>
      <c r="I17" s="48">
        <f t="shared" si="0"/>
        <v>0</v>
      </c>
      <c r="J17" s="50">
        <f t="shared" si="1"/>
        <v>0</v>
      </c>
      <c r="K17" s="58">
        <f t="shared" si="17"/>
        <v>0</v>
      </c>
      <c r="L17" s="50">
        <f t="shared" si="3"/>
        <v>4.0690104166666671E-2</v>
      </c>
      <c r="M17" s="50">
        <f t="shared" si="4"/>
        <v>0</v>
      </c>
      <c r="N17" s="51">
        <f t="shared" si="5"/>
        <v>0.16157644642433933</v>
      </c>
      <c r="O17" s="52">
        <f t="shared" si="6"/>
        <v>0.19295674520242617</v>
      </c>
      <c r="P17" s="51">
        <f t="shared" si="7"/>
        <v>7.0850562750783247E-23</v>
      </c>
      <c r="Q17" s="50">
        <f t="shared" si="8"/>
        <v>1.6965909612129342E-2</v>
      </c>
      <c r="R17" s="3">
        <f t="shared" si="18"/>
        <v>0</v>
      </c>
      <c r="S17" s="19">
        <f t="shared" si="9"/>
        <v>0</v>
      </c>
      <c r="T17" s="12">
        <f t="shared" si="16"/>
        <v>4.0507017543859655E-3</v>
      </c>
      <c r="U17" s="53">
        <f t="shared" si="10"/>
        <v>6.0307017543859663E-2</v>
      </c>
      <c r="V17" s="19">
        <f t="shared" si="11"/>
        <v>4.1847034996051477E-3</v>
      </c>
      <c r="W17" s="19"/>
      <c r="X17" s="3"/>
      <c r="Z17" s="54">
        <f t="shared" si="12"/>
        <v>0.9999581529650039</v>
      </c>
      <c r="AA17" s="7">
        <f t="shared" si="13"/>
        <v>2.7007313710871461</v>
      </c>
      <c r="AB17" t="e">
        <f t="shared" si="14"/>
        <v>#NUM!</v>
      </c>
    </row>
    <row r="18" spans="1:28" x14ac:dyDescent="0.25">
      <c r="A18" s="41">
        <v>6</v>
      </c>
      <c r="B18" s="42">
        <v>39604</v>
      </c>
      <c r="C18" s="43"/>
      <c r="D18" s="63">
        <v>30</v>
      </c>
      <c r="E18" s="56">
        <f t="shared" si="15"/>
        <v>5</v>
      </c>
      <c r="F18" s="45">
        <f>+'[1]Con 10hE'!E19</f>
        <v>0</v>
      </c>
      <c r="G18" s="47">
        <f t="shared" si="2"/>
        <v>0</v>
      </c>
      <c r="H18" s="47">
        <f>+F18/G91</f>
        <v>0</v>
      </c>
      <c r="I18" s="48">
        <f t="shared" si="0"/>
        <v>0</v>
      </c>
      <c r="J18" s="49">
        <f t="shared" si="1"/>
        <v>0</v>
      </c>
      <c r="K18" s="45">
        <f t="shared" si="17"/>
        <v>0</v>
      </c>
      <c r="L18" s="50">
        <f t="shared" si="3"/>
        <v>4.8828125E-2</v>
      </c>
      <c r="M18" s="50">
        <f t="shared" si="4"/>
        <v>0</v>
      </c>
      <c r="N18" s="51">
        <f t="shared" si="5"/>
        <v>0.16570103336709086</v>
      </c>
      <c r="O18" s="52">
        <f t="shared" si="6"/>
        <v>0.19694053382003326</v>
      </c>
      <c r="P18" s="51">
        <f t="shared" si="7"/>
        <v>8.471317628094737E-19</v>
      </c>
      <c r="Q18" s="50">
        <f t="shared" si="8"/>
        <v>2.4866840907279152E-2</v>
      </c>
      <c r="R18" s="3">
        <f t="shared" si="18"/>
        <v>0</v>
      </c>
      <c r="S18" s="19">
        <f t="shared" si="9"/>
        <v>0</v>
      </c>
      <c r="T18" s="12">
        <f t="shared" si="16"/>
        <v>4.0507017543859655E-3</v>
      </c>
      <c r="U18" s="53">
        <f t="shared" si="10"/>
        <v>6.0307017543859663E-2</v>
      </c>
      <c r="V18" s="19">
        <f t="shared" si="11"/>
        <v>4.1847034996051477E-3</v>
      </c>
      <c r="W18" s="19"/>
      <c r="X18" s="3"/>
      <c r="Z18" s="54">
        <f t="shared" si="12"/>
        <v>0.9999581529650039</v>
      </c>
      <c r="AA18" s="7">
        <f t="shared" si="13"/>
        <v>2.6754533603775723</v>
      </c>
      <c r="AB18" t="e">
        <f t="shared" si="14"/>
        <v>#NUM!</v>
      </c>
    </row>
    <row r="19" spans="1:28" x14ac:dyDescent="0.25">
      <c r="A19" s="41">
        <v>7</v>
      </c>
      <c r="B19" s="42">
        <v>39604</v>
      </c>
      <c r="C19" s="43"/>
      <c r="D19" s="55">
        <v>35</v>
      </c>
      <c r="E19" s="56">
        <f t="shared" si="15"/>
        <v>5</v>
      </c>
      <c r="F19" s="45">
        <f>+'[1]Con 10hE'!E20</f>
        <v>0</v>
      </c>
      <c r="G19" s="47">
        <f t="shared" si="2"/>
        <v>0</v>
      </c>
      <c r="H19" s="47">
        <f>+F19/G91</f>
        <v>0</v>
      </c>
      <c r="I19" s="48">
        <f t="shared" si="0"/>
        <v>0</v>
      </c>
      <c r="J19" s="49">
        <f t="shared" si="1"/>
        <v>0</v>
      </c>
      <c r="K19" s="45">
        <f t="shared" si="17"/>
        <v>0</v>
      </c>
      <c r="L19" s="50">
        <f t="shared" si="3"/>
        <v>5.6966145833333336E-2</v>
      </c>
      <c r="M19" s="50">
        <f t="shared" si="4"/>
        <v>0</v>
      </c>
      <c r="N19" s="51">
        <f t="shared" si="5"/>
        <v>0.16989442136978342</v>
      </c>
      <c r="O19" s="52">
        <f t="shared" si="6"/>
        <v>0.20097157975066426</v>
      </c>
      <c r="P19" s="51">
        <f t="shared" si="7"/>
        <v>6.8075627526274089E-16</v>
      </c>
      <c r="Q19" s="50">
        <f t="shared" si="8"/>
        <v>3.4216698404306488E-2</v>
      </c>
      <c r="R19" s="3">
        <f t="shared" si="18"/>
        <v>0</v>
      </c>
      <c r="S19" s="19">
        <f t="shared" si="9"/>
        <v>0</v>
      </c>
      <c r="T19" s="12">
        <f t="shared" si="16"/>
        <v>4.0507017543859655E-3</v>
      </c>
      <c r="U19" s="53">
        <f t="shared" si="10"/>
        <v>6.0307017543859663E-2</v>
      </c>
      <c r="V19" s="19">
        <f t="shared" si="11"/>
        <v>4.1847034996051477E-3</v>
      </c>
      <c r="W19" s="19"/>
      <c r="X19" s="3"/>
      <c r="Z19" s="54">
        <f t="shared" si="12"/>
        <v>0.9999581529650039</v>
      </c>
      <c r="AA19" s="7">
        <f t="shared" si="13"/>
        <v>2.6504119440336114</v>
      </c>
      <c r="AB19" t="e">
        <f t="shared" si="14"/>
        <v>#NUM!</v>
      </c>
    </row>
    <row r="20" spans="1:28" x14ac:dyDescent="0.25">
      <c r="A20" s="41">
        <v>8</v>
      </c>
      <c r="B20" s="42">
        <v>39604</v>
      </c>
      <c r="C20" s="43"/>
      <c r="D20" s="63">
        <v>40</v>
      </c>
      <c r="E20" s="56">
        <f t="shared" si="15"/>
        <v>5</v>
      </c>
      <c r="F20" s="45">
        <f>+'[1]Con 10hE'!E21</f>
        <v>0</v>
      </c>
      <c r="G20" s="57">
        <f t="shared" si="2"/>
        <v>0</v>
      </c>
      <c r="H20" s="57">
        <f>+F20/G91</f>
        <v>0</v>
      </c>
      <c r="I20" s="48">
        <f t="shared" si="0"/>
        <v>0</v>
      </c>
      <c r="J20" s="50">
        <f t="shared" si="1"/>
        <v>0</v>
      </c>
      <c r="K20" s="58">
        <f t="shared" si="17"/>
        <v>0</v>
      </c>
      <c r="L20" s="50">
        <f t="shared" si="3"/>
        <v>6.5104166666666671E-2</v>
      </c>
      <c r="M20" s="50">
        <f t="shared" si="4"/>
        <v>0</v>
      </c>
      <c r="N20" s="51">
        <f t="shared" si="5"/>
        <v>0.17415652796526745</v>
      </c>
      <c r="O20" s="52">
        <f t="shared" si="6"/>
        <v>0.20504943242704793</v>
      </c>
      <c r="P20" s="51">
        <f t="shared" si="7"/>
        <v>1.0135195633955238E-13</v>
      </c>
      <c r="Q20" s="50">
        <f t="shared" si="8"/>
        <v>4.4955363850149831E-2</v>
      </c>
      <c r="R20" s="3">
        <f t="shared" si="18"/>
        <v>0</v>
      </c>
      <c r="S20" s="19">
        <f t="shared" si="9"/>
        <v>0</v>
      </c>
      <c r="T20" s="12">
        <f t="shared" si="16"/>
        <v>4.0507017543859655E-3</v>
      </c>
      <c r="U20" s="53">
        <f t="shared" si="10"/>
        <v>6.0307017543859663E-2</v>
      </c>
      <c r="V20" s="19">
        <f t="shared" si="11"/>
        <v>4.1847034996051477E-3</v>
      </c>
      <c r="W20" s="19"/>
      <c r="Z20" s="54">
        <f t="shared" si="12"/>
        <v>0.9999581529650039</v>
      </c>
      <c r="AA20" s="7">
        <f t="shared" si="13"/>
        <v>2.625604907605144</v>
      </c>
      <c r="AB20" t="e">
        <f t="shared" si="14"/>
        <v>#NUM!</v>
      </c>
    </row>
    <row r="21" spans="1:28" x14ac:dyDescent="0.25">
      <c r="A21" s="41">
        <v>9</v>
      </c>
      <c r="B21" s="42">
        <v>39604</v>
      </c>
      <c r="C21" s="43"/>
      <c r="D21" s="55">
        <v>45</v>
      </c>
      <c r="E21" s="56">
        <f t="shared" si="15"/>
        <v>5</v>
      </c>
      <c r="F21" s="45">
        <f>+'[1]Con 10hE'!E22</f>
        <v>0</v>
      </c>
      <c r="G21" s="47">
        <f t="shared" si="2"/>
        <v>0</v>
      </c>
      <c r="H21" s="47">
        <f>+F21/G91</f>
        <v>0</v>
      </c>
      <c r="I21" s="48">
        <f t="shared" si="0"/>
        <v>0</v>
      </c>
      <c r="J21" s="49">
        <f t="shared" si="1"/>
        <v>0</v>
      </c>
      <c r="K21" s="45">
        <f t="shared" si="17"/>
        <v>0</v>
      </c>
      <c r="L21" s="50">
        <f t="shared" si="3"/>
        <v>7.32421875E-2</v>
      </c>
      <c r="M21" s="50">
        <f t="shared" si="4"/>
        <v>0</v>
      </c>
      <c r="N21" s="51">
        <f t="shared" si="5"/>
        <v>0.17848722378786705</v>
      </c>
      <c r="O21" s="52">
        <f t="shared" si="6"/>
        <v>0.20917360740715357</v>
      </c>
      <c r="P21" s="51">
        <f t="shared" si="7"/>
        <v>4.9087838988269923E-12</v>
      </c>
      <c r="Q21" s="50">
        <f t="shared" si="8"/>
        <v>5.7015507483804885E-2</v>
      </c>
      <c r="R21" s="3">
        <f t="shared" si="18"/>
        <v>0</v>
      </c>
      <c r="S21" s="19">
        <f t="shared" si="9"/>
        <v>0</v>
      </c>
      <c r="T21" s="12">
        <f t="shared" si="16"/>
        <v>4.0507017543859655E-3</v>
      </c>
      <c r="U21" s="53">
        <f t="shared" si="10"/>
        <v>6.0307017543859663E-2</v>
      </c>
      <c r="V21" s="19">
        <f t="shared" si="11"/>
        <v>4.1847034996051477E-3</v>
      </c>
      <c r="W21" s="19"/>
      <c r="X21" s="3"/>
      <c r="Z21" s="54">
        <f t="shared" si="12"/>
        <v>0.9999581529650039</v>
      </c>
      <c r="AA21" s="7">
        <f t="shared" si="13"/>
        <v>2.601030057368618</v>
      </c>
      <c r="AB21" t="e">
        <f t="shared" si="14"/>
        <v>#NUM!</v>
      </c>
    </row>
    <row r="22" spans="1:28" x14ac:dyDescent="0.25">
      <c r="A22" s="41">
        <v>10</v>
      </c>
      <c r="B22" s="42">
        <v>39604</v>
      </c>
      <c r="C22" s="43"/>
      <c r="D22" s="55">
        <v>50</v>
      </c>
      <c r="E22" s="56">
        <f t="shared" si="15"/>
        <v>5</v>
      </c>
      <c r="F22" s="45">
        <f>+'[1]Con 10hE'!E23</f>
        <v>0</v>
      </c>
      <c r="G22" s="47">
        <f t="shared" si="2"/>
        <v>0</v>
      </c>
      <c r="H22" s="47">
        <f>+F22/G91</f>
        <v>0</v>
      </c>
      <c r="I22" s="48">
        <f t="shared" si="0"/>
        <v>0</v>
      </c>
      <c r="J22" s="49">
        <f t="shared" si="1"/>
        <v>0</v>
      </c>
      <c r="K22" s="45">
        <f t="shared" si="17"/>
        <v>0</v>
      </c>
      <c r="L22" s="50">
        <f t="shared" si="3"/>
        <v>8.1380208333333343E-2</v>
      </c>
      <c r="M22" s="50">
        <f t="shared" si="4"/>
        <v>0</v>
      </c>
      <c r="N22" s="51">
        <f t="shared" si="5"/>
        <v>0.18288633150942302</v>
      </c>
      <c r="O22" s="52">
        <f t="shared" si="6"/>
        <v>0.21334358602761908</v>
      </c>
      <c r="P22" s="51">
        <f t="shared" si="7"/>
        <v>1.0840025764579812E-10</v>
      </c>
      <c r="Q22" s="50">
        <f t="shared" si="8"/>
        <v>7.0325111352048345E-2</v>
      </c>
      <c r="R22" s="3">
        <f t="shared" si="18"/>
        <v>0</v>
      </c>
      <c r="S22" s="19">
        <f t="shared" si="9"/>
        <v>0</v>
      </c>
      <c r="T22" s="12">
        <f t="shared" si="16"/>
        <v>4.0507017543859655E-3</v>
      </c>
      <c r="U22" s="53">
        <f t="shared" si="10"/>
        <v>6.0307017543859663E-2</v>
      </c>
      <c r="V22" s="19">
        <f t="shared" si="11"/>
        <v>4.1847034996051477E-3</v>
      </c>
      <c r="W22" s="19"/>
      <c r="X22" s="3"/>
      <c r="Z22" s="54">
        <f t="shared" si="12"/>
        <v>0.9999581529650039</v>
      </c>
      <c r="AA22" s="7">
        <f t="shared" si="13"/>
        <v>2.5766852201330588</v>
      </c>
      <c r="AB22" t="e">
        <f t="shared" si="14"/>
        <v>#NUM!</v>
      </c>
    </row>
    <row r="23" spans="1:28" x14ac:dyDescent="0.25">
      <c r="A23" s="41">
        <v>11</v>
      </c>
      <c r="B23" s="42">
        <v>39604</v>
      </c>
      <c r="C23" s="43"/>
      <c r="D23" s="63">
        <v>55</v>
      </c>
      <c r="E23" s="56">
        <f t="shared" si="15"/>
        <v>5</v>
      </c>
      <c r="F23" s="45">
        <f>+'[1]Con 10hE'!E24</f>
        <v>0</v>
      </c>
      <c r="G23" s="47">
        <f t="shared" si="2"/>
        <v>0</v>
      </c>
      <c r="H23" s="47">
        <f>+F23/G91</f>
        <v>0</v>
      </c>
      <c r="I23" s="48">
        <f t="shared" si="0"/>
        <v>0</v>
      </c>
      <c r="J23" s="49">
        <f t="shared" si="1"/>
        <v>0</v>
      </c>
      <c r="K23" s="45">
        <f t="shared" si="17"/>
        <v>0</v>
      </c>
      <c r="L23" s="50">
        <f t="shared" si="3"/>
        <v>8.9518229166666671E-2</v>
      </c>
      <c r="M23" s="50">
        <f t="shared" si="4"/>
        <v>0</v>
      </c>
      <c r="N23" s="51">
        <f t="shared" si="5"/>
        <v>0.18735362480089451</v>
      </c>
      <c r="O23" s="52">
        <f t="shared" si="6"/>
        <v>0.21755881508026356</v>
      </c>
      <c r="P23" s="51">
        <f t="shared" si="7"/>
        <v>1.3528361396632205E-9</v>
      </c>
      <c r="Q23" s="50">
        <f t="shared" si="8"/>
        <v>8.4809260911640594E-2</v>
      </c>
      <c r="R23" s="3">
        <f t="shared" si="18"/>
        <v>0</v>
      </c>
      <c r="S23" s="19">
        <f t="shared" si="9"/>
        <v>0</v>
      </c>
      <c r="T23" s="12">
        <f t="shared" si="16"/>
        <v>4.0507017543859655E-3</v>
      </c>
      <c r="U23" s="53">
        <f t="shared" si="10"/>
        <v>6.0307017543859663E-2</v>
      </c>
      <c r="V23" s="19">
        <f t="shared" si="11"/>
        <v>4.1847034996051477E-3</v>
      </c>
      <c r="W23" s="19"/>
      <c r="X23" s="3"/>
      <c r="Z23" s="54">
        <f t="shared" si="12"/>
        <v>0.9999581529650039</v>
      </c>
      <c r="AA23" s="7">
        <f t="shared" si="13"/>
        <v>2.5525682430478822</v>
      </c>
      <c r="AB23" t="e">
        <f t="shared" si="14"/>
        <v>#NUM!</v>
      </c>
    </row>
    <row r="24" spans="1:28" x14ac:dyDescent="0.25">
      <c r="A24" s="41">
        <v>12</v>
      </c>
      <c r="B24" s="42">
        <v>39604</v>
      </c>
      <c r="C24" s="43"/>
      <c r="D24" s="55">
        <v>60</v>
      </c>
      <c r="E24" s="56">
        <f t="shared" si="15"/>
        <v>5</v>
      </c>
      <c r="F24" s="45">
        <f>+'[1]Con 10hE'!E25</f>
        <v>0</v>
      </c>
      <c r="G24" s="47">
        <f t="shared" si="2"/>
        <v>0</v>
      </c>
      <c r="H24" s="47">
        <f>+F24/G91</f>
        <v>0</v>
      </c>
      <c r="I24" s="48">
        <f t="shared" si="0"/>
        <v>0</v>
      </c>
      <c r="J24" s="49">
        <f t="shared" si="1"/>
        <v>0</v>
      </c>
      <c r="K24" s="45">
        <f t="shared" si="17"/>
        <v>0</v>
      </c>
      <c r="L24" s="50">
        <f t="shared" si="3"/>
        <v>9.765625E-2</v>
      </c>
      <c r="M24" s="50">
        <f t="shared" si="4"/>
        <v>0</v>
      </c>
      <c r="N24" s="51">
        <f t="shared" si="5"/>
        <v>0.19188882732150622</v>
      </c>
      <c r="O24" s="52">
        <f t="shared" si="6"/>
        <v>0.22181870651248881</v>
      </c>
      <c r="P24" s="51">
        <f t="shared" si="7"/>
        <v>1.1008906910674926E-8</v>
      </c>
      <c r="Q24" s="50">
        <f t="shared" si="8"/>
        <v>0.10039145834173788</v>
      </c>
      <c r="R24" s="3">
        <f t="shared" si="18"/>
        <v>0</v>
      </c>
      <c r="S24" s="19">
        <f t="shared" si="9"/>
        <v>0</v>
      </c>
      <c r="T24" s="12">
        <f t="shared" si="16"/>
        <v>4.0507017543859655E-3</v>
      </c>
      <c r="U24" s="53">
        <f t="shared" si="10"/>
        <v>6.0307017543859663E-2</v>
      </c>
      <c r="V24" s="19">
        <f t="shared" si="11"/>
        <v>4.1847034996051477E-3</v>
      </c>
      <c r="W24" s="19"/>
      <c r="X24" s="3"/>
      <c r="Z24" s="54">
        <f t="shared" si="12"/>
        <v>0.9999581529650039</v>
      </c>
      <c r="AA24" s="7">
        <f t="shared" si="13"/>
        <v>2.5286769934125259</v>
      </c>
      <c r="AB24" t="e">
        <f t="shared" si="14"/>
        <v>#NUM!</v>
      </c>
    </row>
    <row r="25" spans="1:28" x14ac:dyDescent="0.25">
      <c r="A25" s="41">
        <v>13</v>
      </c>
      <c r="B25" s="42">
        <v>39604</v>
      </c>
      <c r="C25" s="43"/>
      <c r="D25" s="63">
        <v>70</v>
      </c>
      <c r="E25" s="56">
        <f t="shared" si="15"/>
        <v>10</v>
      </c>
      <c r="F25" s="45">
        <f>+'[1]Con 10hE'!E26</f>
        <v>0</v>
      </c>
      <c r="G25" s="57">
        <f t="shared" si="2"/>
        <v>0</v>
      </c>
      <c r="H25" s="57">
        <f>+F25/G91</f>
        <v>0</v>
      </c>
      <c r="I25" s="48">
        <f t="shared" si="0"/>
        <v>0</v>
      </c>
      <c r="J25" s="50">
        <f t="shared" si="1"/>
        <v>0</v>
      </c>
      <c r="K25" s="58">
        <f t="shared" si="17"/>
        <v>0</v>
      </c>
      <c r="L25" s="50">
        <f t="shared" si="3"/>
        <v>0.11393229166666667</v>
      </c>
      <c r="M25" s="50">
        <f t="shared" si="4"/>
        <v>0</v>
      </c>
      <c r="N25" s="51">
        <f t="shared" si="5"/>
        <v>0.20116159877206874</v>
      </c>
      <c r="O25" s="52">
        <f t="shared" si="6"/>
        <v>0.23046994845915955</v>
      </c>
      <c r="P25" s="51">
        <f t="shared" si="7"/>
        <v>2.9189940621883268E-7</v>
      </c>
      <c r="Q25" s="50">
        <f t="shared" si="8"/>
        <v>0.13454176375849738</v>
      </c>
      <c r="R25" s="3">
        <f t="shared" si="18"/>
        <v>0</v>
      </c>
      <c r="S25" s="19">
        <f t="shared" si="9"/>
        <v>0</v>
      </c>
      <c r="T25" s="12">
        <f t="shared" si="16"/>
        <v>4.0507017543859655E-3</v>
      </c>
      <c r="U25" s="53">
        <f t="shared" si="10"/>
        <v>6.0307017543859663E-2</v>
      </c>
      <c r="V25" s="19">
        <f t="shared" si="11"/>
        <v>4.1847034996051477E-3</v>
      </c>
      <c r="W25" s="19"/>
      <c r="X25" s="3"/>
      <c r="Z25" s="54">
        <f t="shared" si="12"/>
        <v>0.9999581529650039</v>
      </c>
      <c r="AA25" s="7">
        <f t="shared" si="13"/>
        <v>2.4815632453092649</v>
      </c>
      <c r="AB25" t="e">
        <f t="shared" si="14"/>
        <v>#NUM!</v>
      </c>
    </row>
    <row r="26" spans="1:28" x14ac:dyDescent="0.25">
      <c r="A26" s="41">
        <v>14</v>
      </c>
      <c r="B26" s="42">
        <v>39604</v>
      </c>
      <c r="C26" s="43"/>
      <c r="D26" s="55">
        <v>80</v>
      </c>
      <c r="E26" s="56">
        <f t="shared" si="15"/>
        <v>10</v>
      </c>
      <c r="F26" s="45">
        <f>+'[1]Con 10hE'!E27</f>
        <v>0</v>
      </c>
      <c r="G26" s="57">
        <f t="shared" si="2"/>
        <v>0</v>
      </c>
      <c r="H26" s="57">
        <f>+F26/G91</f>
        <v>0</v>
      </c>
      <c r="I26" s="48">
        <f t="shared" si="0"/>
        <v>0</v>
      </c>
      <c r="J26" s="50">
        <f t="shared" si="1"/>
        <v>0</v>
      </c>
      <c r="K26" s="58">
        <f t="shared" si="17"/>
        <v>0</v>
      </c>
      <c r="L26" s="50">
        <f t="shared" si="3"/>
        <v>0.13020833333333334</v>
      </c>
      <c r="M26" s="50">
        <f t="shared" si="4"/>
        <v>0</v>
      </c>
      <c r="N26" s="51">
        <f t="shared" si="5"/>
        <v>0.2107013984151111</v>
      </c>
      <c r="O26" s="52">
        <f t="shared" si="6"/>
        <v>0.23929190075420378</v>
      </c>
      <c r="P26" s="51">
        <f t="shared" si="7"/>
        <v>3.3485811783292643E-6</v>
      </c>
      <c r="Q26" s="50">
        <f t="shared" si="8"/>
        <v>0.17216441831257209</v>
      </c>
      <c r="R26" s="3">
        <f t="shared" si="18"/>
        <v>0</v>
      </c>
      <c r="S26" s="19">
        <f t="shared" si="9"/>
        <v>0</v>
      </c>
      <c r="T26" s="12">
        <f t="shared" si="16"/>
        <v>4.0507017543859655E-3</v>
      </c>
      <c r="U26" s="53">
        <f t="shared" si="10"/>
        <v>6.0307017543859663E-2</v>
      </c>
      <c r="V26" s="19">
        <f t="shared" si="11"/>
        <v>4.1847034996051477E-3</v>
      </c>
      <c r="W26" s="19"/>
      <c r="X26" s="3"/>
      <c r="Z26" s="54">
        <f t="shared" si="12"/>
        <v>0.9999581529650039</v>
      </c>
      <c r="AA26" s="7">
        <f t="shared" si="13"/>
        <v>2.43532731009635</v>
      </c>
      <c r="AB26" t="e">
        <f t="shared" si="14"/>
        <v>#NUM!</v>
      </c>
    </row>
    <row r="27" spans="1:28" x14ac:dyDescent="0.25">
      <c r="A27" s="41">
        <v>15</v>
      </c>
      <c r="B27" s="42">
        <v>39604</v>
      </c>
      <c r="C27" s="43"/>
      <c r="D27" s="63">
        <v>90</v>
      </c>
      <c r="E27" s="56">
        <f t="shared" si="15"/>
        <v>10</v>
      </c>
      <c r="F27" s="45">
        <f>+'[1]Con 10hE'!E28</f>
        <v>0</v>
      </c>
      <c r="G27" s="47">
        <f t="shared" si="2"/>
        <v>0</v>
      </c>
      <c r="H27" s="47">
        <f>+F27/G91</f>
        <v>0</v>
      </c>
      <c r="I27" s="48">
        <f t="shared" si="0"/>
        <v>0</v>
      </c>
      <c r="J27" s="49">
        <f t="shared" si="1"/>
        <v>0</v>
      </c>
      <c r="K27" s="45">
        <f t="shared" si="17"/>
        <v>0</v>
      </c>
      <c r="L27" s="50">
        <f t="shared" si="3"/>
        <v>0.146484375</v>
      </c>
      <c r="M27" s="50">
        <f t="shared" si="4"/>
        <v>0</v>
      </c>
      <c r="N27" s="51">
        <f t="shared" si="5"/>
        <v>0.22050411926975924</v>
      </c>
      <c r="O27" s="52">
        <f t="shared" si="6"/>
        <v>0.24827857989285121</v>
      </c>
      <c r="P27" s="51">
        <f t="shared" si="7"/>
        <v>2.1996265627607357E-5</v>
      </c>
      <c r="Q27" s="50">
        <f t="shared" si="8"/>
        <v>0.21266584422624626</v>
      </c>
      <c r="R27" s="3">
        <f t="shared" si="18"/>
        <v>0</v>
      </c>
      <c r="S27" s="19">
        <f t="shared" si="9"/>
        <v>0</v>
      </c>
      <c r="T27" s="12">
        <f t="shared" si="16"/>
        <v>4.0507017543859655E-3</v>
      </c>
      <c r="U27" s="53">
        <f t="shared" si="10"/>
        <v>6.0307017543859663E-2</v>
      </c>
      <c r="V27" s="19">
        <f t="shared" si="11"/>
        <v>4.1847034996051477E-3</v>
      </c>
      <c r="W27" s="19"/>
      <c r="X27" s="3"/>
      <c r="Z27" s="54">
        <f t="shared" si="12"/>
        <v>0.9999581529650039</v>
      </c>
      <c r="AA27" s="7">
        <f t="shared" si="13"/>
        <v>2.3899528325589761</v>
      </c>
      <c r="AB27" t="e">
        <f t="shared" si="14"/>
        <v>#NUM!</v>
      </c>
    </row>
    <row r="28" spans="1:28" x14ac:dyDescent="0.25">
      <c r="A28" s="41">
        <v>16</v>
      </c>
      <c r="B28" s="42">
        <v>39604</v>
      </c>
      <c r="C28" s="43"/>
      <c r="D28" s="55">
        <v>100</v>
      </c>
      <c r="E28" s="56">
        <f t="shared" si="15"/>
        <v>10</v>
      </c>
      <c r="F28" s="45">
        <f>+'[1]Con 10hE'!E29</f>
        <v>0</v>
      </c>
      <c r="G28" s="57">
        <f t="shared" si="2"/>
        <v>0</v>
      </c>
      <c r="H28" s="57">
        <f>+F28/G91</f>
        <v>0</v>
      </c>
      <c r="I28" s="48">
        <f t="shared" si="0"/>
        <v>0</v>
      </c>
      <c r="J28" s="50">
        <f t="shared" si="1"/>
        <v>0</v>
      </c>
      <c r="K28" s="58">
        <f t="shared" si="17"/>
        <v>0</v>
      </c>
      <c r="L28" s="50">
        <f t="shared" si="3"/>
        <v>0.16276041666666669</v>
      </c>
      <c r="M28" s="50">
        <f t="shared" si="4"/>
        <v>0</v>
      </c>
      <c r="N28" s="51">
        <f t="shared" si="5"/>
        <v>0.23056476850388749</v>
      </c>
      <c r="O28" s="52">
        <f t="shared" si="6"/>
        <v>0.2574234250497659</v>
      </c>
      <c r="P28" s="51">
        <f t="shared" si="7"/>
        <v>9.7868548920373096E-5</v>
      </c>
      <c r="Q28" s="50">
        <f t="shared" si="8"/>
        <v>0.25548066996662966</v>
      </c>
      <c r="R28" s="3">
        <f t="shared" si="18"/>
        <v>0</v>
      </c>
      <c r="S28" s="19">
        <f t="shared" si="9"/>
        <v>0</v>
      </c>
      <c r="T28" s="12">
        <f t="shared" si="16"/>
        <v>4.0507017543859655E-3</v>
      </c>
      <c r="U28" s="53">
        <f t="shared" si="10"/>
        <v>6.0307017543859663E-2</v>
      </c>
      <c r="V28" s="19">
        <f t="shared" si="11"/>
        <v>4.1847034996051477E-3</v>
      </c>
      <c r="W28" s="19"/>
      <c r="X28" s="3"/>
      <c r="Z28" s="54">
        <f t="shared" si="12"/>
        <v>0.9999581529650039</v>
      </c>
      <c r="AA28" s="7">
        <f t="shared" si="13"/>
        <v>2.3454237622090695</v>
      </c>
      <c r="AB28" t="e">
        <f t="shared" si="14"/>
        <v>#NUM!</v>
      </c>
    </row>
    <row r="29" spans="1:28" x14ac:dyDescent="0.25">
      <c r="A29" s="41">
        <v>17</v>
      </c>
      <c r="B29" s="42">
        <v>39604</v>
      </c>
      <c r="C29" s="43"/>
      <c r="D29" s="63">
        <v>110</v>
      </c>
      <c r="E29" s="56">
        <f t="shared" si="15"/>
        <v>10</v>
      </c>
      <c r="F29" s="45">
        <f>+'[1]Con 10hE'!E30</f>
        <v>0</v>
      </c>
      <c r="G29" s="57">
        <f t="shared" si="2"/>
        <v>0</v>
      </c>
      <c r="H29" s="57">
        <f>+F29/G91</f>
        <v>0</v>
      </c>
      <c r="I29" s="48">
        <f t="shared" si="0"/>
        <v>0</v>
      </c>
      <c r="J29" s="50">
        <f t="shared" si="1"/>
        <v>0</v>
      </c>
      <c r="K29" s="58">
        <f t="shared" si="17"/>
        <v>0</v>
      </c>
      <c r="L29" s="50">
        <f t="shared" si="3"/>
        <v>0.17903645833333334</v>
      </c>
      <c r="M29" s="50">
        <f t="shared" si="4"/>
        <v>0</v>
      </c>
      <c r="N29" s="51">
        <f t="shared" si="5"/>
        <v>0.24087744377223613</v>
      </c>
      <c r="O29" s="52">
        <f t="shared" si="6"/>
        <v>0.26671929500975589</v>
      </c>
      <c r="P29" s="51">
        <f t="shared" si="7"/>
        <v>3.2817673095557505E-4</v>
      </c>
      <c r="Q29" s="50">
        <f t="shared" si="8"/>
        <v>0.30007772873209432</v>
      </c>
      <c r="R29" s="3">
        <f t="shared" si="18"/>
        <v>0</v>
      </c>
      <c r="S29" s="19">
        <f t="shared" si="9"/>
        <v>0</v>
      </c>
      <c r="T29" s="12">
        <f t="shared" si="16"/>
        <v>4.0507017543859655E-3</v>
      </c>
      <c r="U29" s="53">
        <f t="shared" si="10"/>
        <v>6.0307017543859663E-2</v>
      </c>
      <c r="V29" s="19">
        <f t="shared" si="11"/>
        <v>4.1847034996051477E-3</v>
      </c>
      <c r="W29" s="19"/>
      <c r="X29" s="64"/>
      <c r="Z29" s="54">
        <f t="shared" si="12"/>
        <v>0.9999581529650039</v>
      </c>
      <c r="AA29" s="7">
        <f t="shared" si="13"/>
        <v>2.3017243476076832</v>
      </c>
      <c r="AB29" t="e">
        <f t="shared" si="14"/>
        <v>#NUM!</v>
      </c>
    </row>
    <row r="30" spans="1:28" x14ac:dyDescent="0.25">
      <c r="A30" s="41">
        <v>18</v>
      </c>
      <c r="B30" s="42">
        <v>39604</v>
      </c>
      <c r="C30" s="43"/>
      <c r="D30" s="55">
        <v>120</v>
      </c>
      <c r="E30" s="56">
        <f t="shared" si="15"/>
        <v>10</v>
      </c>
      <c r="F30" s="58">
        <f>+'[1]Con 10hE'!E31</f>
        <v>0</v>
      </c>
      <c r="G30" s="57">
        <f t="shared" si="2"/>
        <v>0</v>
      </c>
      <c r="H30" s="57">
        <f>+F30/G91</f>
        <v>0</v>
      </c>
      <c r="I30" s="48">
        <f t="shared" si="0"/>
        <v>0</v>
      </c>
      <c r="J30" s="50">
        <f t="shared" si="1"/>
        <v>0</v>
      </c>
      <c r="K30" s="58">
        <f t="shared" si="17"/>
        <v>0</v>
      </c>
      <c r="L30" s="50">
        <f t="shared" si="3"/>
        <v>0.1953125</v>
      </c>
      <c r="M30" s="50">
        <f t="shared" si="4"/>
        <v>0</v>
      </c>
      <c r="N30" s="51">
        <f t="shared" si="5"/>
        <v>0.25143531245711925</v>
      </c>
      <c r="O30" s="52">
        <f t="shared" si="6"/>
        <v>0.27615846704129809</v>
      </c>
      <c r="P30" s="51">
        <f t="shared" si="7"/>
        <v>8.9046224732876236E-4</v>
      </c>
      <c r="Q30" s="50">
        <f t="shared" si="8"/>
        <v>0.34596336792275501</v>
      </c>
      <c r="R30" s="3">
        <f t="shared" si="18"/>
        <v>0</v>
      </c>
      <c r="S30" s="19">
        <f t="shared" si="9"/>
        <v>0</v>
      </c>
      <c r="T30" s="12">
        <f t="shared" si="16"/>
        <v>4.0507017543859655E-3</v>
      </c>
      <c r="U30" s="53">
        <f t="shared" si="10"/>
        <v>6.0307017543859663E-2</v>
      </c>
      <c r="V30" s="19">
        <f t="shared" si="11"/>
        <v>4.1847034996051477E-3</v>
      </c>
      <c r="W30" s="19"/>
      <c r="X30" s="64"/>
      <c r="Z30" s="54">
        <f t="shared" si="12"/>
        <v>0.9999581529650039</v>
      </c>
      <c r="AA30" s="7">
        <f t="shared" si="13"/>
        <v>2.2588391307931852</v>
      </c>
      <c r="AB30" t="e">
        <f t="shared" si="14"/>
        <v>#NUM!</v>
      </c>
    </row>
    <row r="31" spans="1:28" x14ac:dyDescent="0.25">
      <c r="A31" s="41">
        <v>19</v>
      </c>
      <c r="B31" s="42">
        <v>39604</v>
      </c>
      <c r="C31" s="43"/>
      <c r="D31" s="65">
        <v>135</v>
      </c>
      <c r="E31" s="56">
        <f t="shared" si="15"/>
        <v>15</v>
      </c>
      <c r="F31" s="58">
        <f>+'[1]Con 10hE'!E32</f>
        <v>7.381578947368421E-2</v>
      </c>
      <c r="G31" s="57">
        <f t="shared" si="2"/>
        <v>1.1072368421052632</v>
      </c>
      <c r="H31" s="57">
        <f>+F31/G91</f>
        <v>5.1220816042249996E-5</v>
      </c>
      <c r="I31" s="48">
        <f t="shared" si="0"/>
        <v>7.6831224063374996E-4</v>
      </c>
      <c r="J31" s="50">
        <f t="shared" si="1"/>
        <v>0.10372215248555625</v>
      </c>
      <c r="K31" s="58">
        <f t="shared" si="17"/>
        <v>5.1220816042249998E-2</v>
      </c>
      <c r="L31" s="50">
        <f t="shared" si="3"/>
        <v>0.2197265625</v>
      </c>
      <c r="M31" s="50">
        <f t="shared" si="4"/>
        <v>3.0464626278862653E-2</v>
      </c>
      <c r="N31" s="51">
        <f t="shared" si="5"/>
        <v>0.26771457052085534</v>
      </c>
      <c r="O31" s="52">
        <f t="shared" si="6"/>
        <v>0.29056759480874705</v>
      </c>
      <c r="P31" s="51">
        <f t="shared" si="7"/>
        <v>2.967710059802339E-3</v>
      </c>
      <c r="Q31" s="50">
        <f t="shared" si="8"/>
        <v>0.41622420151093997</v>
      </c>
      <c r="R31" s="19">
        <f t="shared" ref="R31:R88" si="19">839.6/1000*F31*E31</f>
        <v>0.929636052631579</v>
      </c>
      <c r="S31" s="19">
        <f t="shared" si="9"/>
        <v>7.4370884210526317E-2</v>
      </c>
      <c r="T31" s="12">
        <f t="shared" si="16"/>
        <v>7.8421585964912277E-2</v>
      </c>
      <c r="U31" s="53">
        <f t="shared" si="10"/>
        <v>1.1675438596491228</v>
      </c>
      <c r="V31" s="19">
        <f t="shared" si="11"/>
        <v>8.1015859752355632E-2</v>
      </c>
      <c r="W31" s="66" t="s">
        <v>72</v>
      </c>
      <c r="Z31" s="54">
        <f t="shared" si="12"/>
        <v>0.99918984140247646</v>
      </c>
      <c r="AA31" s="7">
        <f t="shared" si="13"/>
        <v>2.1960048195810549</v>
      </c>
      <c r="AB31">
        <f t="shared" si="14"/>
        <v>-3.4911890625861148</v>
      </c>
    </row>
    <row r="32" spans="1:28" x14ac:dyDescent="0.25">
      <c r="A32" s="41">
        <v>20</v>
      </c>
      <c r="B32" s="42">
        <v>39604</v>
      </c>
      <c r="C32" s="43"/>
      <c r="D32" s="55">
        <v>150</v>
      </c>
      <c r="E32" s="56">
        <f t="shared" si="15"/>
        <v>15</v>
      </c>
      <c r="F32" s="45">
        <f>+'[1]Con 10hE'!E33</f>
        <v>0.19442982456140351</v>
      </c>
      <c r="G32" s="47">
        <f t="shared" si="2"/>
        <v>2.9164473684210526</v>
      </c>
      <c r="H32" s="47">
        <f>+F32/G91</f>
        <v>1.3491495990213562E-4</v>
      </c>
      <c r="I32" s="48">
        <f t="shared" si="0"/>
        <v>2.0237243985320344E-3</v>
      </c>
      <c r="J32" s="49">
        <f t="shared" si="1"/>
        <v>0.30355865977980517</v>
      </c>
      <c r="K32" s="45">
        <f t="shared" si="17"/>
        <v>0.13491495990213562</v>
      </c>
      <c r="L32" s="50">
        <f t="shared" si="3"/>
        <v>0.244140625</v>
      </c>
      <c r="M32" s="50">
        <f t="shared" si="4"/>
        <v>8.0243427388115351E-2</v>
      </c>
      <c r="N32" s="51">
        <f t="shared" si="5"/>
        <v>0.28449745269814608</v>
      </c>
      <c r="O32" s="52">
        <f t="shared" si="6"/>
        <v>0.30524987892977223</v>
      </c>
      <c r="P32" s="51">
        <f t="shared" si="7"/>
        <v>7.644175418478674E-3</v>
      </c>
      <c r="Q32" s="50">
        <f t="shared" si="8"/>
        <v>0.48700172373133455</v>
      </c>
      <c r="R32" s="19">
        <f t="shared" si="19"/>
        <v>2.448649210526316</v>
      </c>
      <c r="S32" s="19">
        <f t="shared" si="9"/>
        <v>0.19589193684210526</v>
      </c>
      <c r="T32" s="12">
        <f t="shared" si="16"/>
        <v>0.27431352280701754</v>
      </c>
      <c r="U32" s="53">
        <f t="shared" si="10"/>
        <v>4.0839912280701753</v>
      </c>
      <c r="V32" s="19">
        <f t="shared" si="11"/>
        <v>0.28338812099326049</v>
      </c>
      <c r="W32" s="19"/>
      <c r="X32" s="3"/>
      <c r="Z32" s="54">
        <f t="shared" si="12"/>
        <v>0.99716611879006745</v>
      </c>
      <c r="AA32" s="7">
        <f t="shared" si="13"/>
        <v>2.1349183754975223</v>
      </c>
      <c r="AB32">
        <f t="shared" si="14"/>
        <v>-2.5226904220318676</v>
      </c>
    </row>
    <row r="33" spans="1:28" x14ac:dyDescent="0.25">
      <c r="A33" s="41">
        <v>21</v>
      </c>
      <c r="B33" s="42">
        <v>39604</v>
      </c>
      <c r="C33" s="43"/>
      <c r="D33" s="63">
        <v>165</v>
      </c>
      <c r="E33" s="56">
        <f t="shared" si="15"/>
        <v>15</v>
      </c>
      <c r="F33" s="67">
        <f>+'[1]Con 10hE'!E34</f>
        <v>0.27118421052631581</v>
      </c>
      <c r="G33" s="47">
        <f t="shared" si="2"/>
        <v>4.0677631578947366</v>
      </c>
      <c r="H33" s="47">
        <f>+F33/G91</f>
        <v>1.8817486963115375E-4</v>
      </c>
      <c r="I33" s="48">
        <f t="shared" si="0"/>
        <v>2.8226230444673064E-3</v>
      </c>
      <c r="J33" s="49">
        <f t="shared" si="1"/>
        <v>0.46573280233710557</v>
      </c>
      <c r="K33" s="45">
        <f t="shared" si="17"/>
        <v>0.18817486963115376</v>
      </c>
      <c r="L33" s="50">
        <f t="shared" si="3"/>
        <v>0.2685546875</v>
      </c>
      <c r="M33" s="50">
        <f t="shared" si="4"/>
        <v>0.11192084627582162</v>
      </c>
      <c r="N33" s="51">
        <f t="shared" si="5"/>
        <v>0.30174868936275234</v>
      </c>
      <c r="O33" s="52">
        <f t="shared" si="6"/>
        <v>0.32017198521509754</v>
      </c>
      <c r="P33" s="51">
        <f t="shared" si="7"/>
        <v>1.6333562398887908E-2</v>
      </c>
      <c r="Q33" s="50">
        <f t="shared" si="8"/>
        <v>0.55712042878590184</v>
      </c>
      <c r="R33" s="19">
        <f t="shared" si="19"/>
        <v>3.4152939473684212</v>
      </c>
      <c r="S33" s="19">
        <f t="shared" si="9"/>
        <v>0.27322351578947368</v>
      </c>
      <c r="T33" s="12">
        <f t="shared" si="16"/>
        <v>0.54753703859649128</v>
      </c>
      <c r="U33" s="53">
        <f t="shared" si="10"/>
        <v>8.151754385964912</v>
      </c>
      <c r="V33" s="19">
        <f t="shared" si="11"/>
        <v>0.56565017631753634</v>
      </c>
      <c r="W33" s="68">
        <f>+((([1]Resumen!O6-F32)*(D33-D32))/(F33-F32))+D32</f>
        <v>160.15971428571427</v>
      </c>
      <c r="X33" s="69" t="s">
        <v>73</v>
      </c>
      <c r="Z33" s="54">
        <f t="shared" si="12"/>
        <v>0.99434349823682466</v>
      </c>
      <c r="AA33" s="7">
        <f t="shared" si="13"/>
        <v>2.0755311779809817</v>
      </c>
      <c r="AB33">
        <f t="shared" si="14"/>
        <v>-2.1899633872183522</v>
      </c>
    </row>
    <row r="34" spans="1:28" x14ac:dyDescent="0.25">
      <c r="A34" s="41">
        <v>22</v>
      </c>
      <c r="B34" s="42">
        <v>39604</v>
      </c>
      <c r="C34" s="43"/>
      <c r="D34" s="55">
        <v>180</v>
      </c>
      <c r="E34" s="56">
        <f t="shared" si="15"/>
        <v>15</v>
      </c>
      <c r="F34" s="67">
        <f>+'[1]Con 10hE'!E35</f>
        <v>0.47951754385964901</v>
      </c>
      <c r="G34" s="47">
        <f t="shared" si="2"/>
        <v>7.1927631578947349</v>
      </c>
      <c r="H34" s="47">
        <f>+F34/G91</f>
        <v>3.3273748175277428E-4</v>
      </c>
      <c r="I34" s="48">
        <f t="shared" si="0"/>
        <v>4.991062226291614E-3</v>
      </c>
      <c r="J34" s="49">
        <f t="shared" si="1"/>
        <v>0.89839120073249057</v>
      </c>
      <c r="K34" s="45">
        <f t="shared" si="17"/>
        <v>0.33273748175277429</v>
      </c>
      <c r="L34" s="50">
        <f t="shared" si="3"/>
        <v>0.29296875</v>
      </c>
      <c r="M34" s="50">
        <f t="shared" si="4"/>
        <v>0.19790241182816715</v>
      </c>
      <c r="N34" s="51">
        <f t="shared" si="5"/>
        <v>0.31942804186746099</v>
      </c>
      <c r="O34" s="52">
        <f t="shared" si="6"/>
        <v>0.33529776914613407</v>
      </c>
      <c r="P34" s="51">
        <f t="shared" si="7"/>
        <v>3.0347803894865542E-2</v>
      </c>
      <c r="Q34" s="50">
        <f t="shared" si="8"/>
        <v>0.62558784745462181</v>
      </c>
      <c r="R34" s="19">
        <f t="shared" si="19"/>
        <v>6.0390439473684197</v>
      </c>
      <c r="S34" s="19">
        <f t="shared" si="9"/>
        <v>0.4831235157894736</v>
      </c>
      <c r="T34" s="12">
        <f t="shared" si="16"/>
        <v>1.0306605543859648</v>
      </c>
      <c r="U34" s="53">
        <f t="shared" si="10"/>
        <v>15.344517543859647</v>
      </c>
      <c r="V34" s="19">
        <f t="shared" si="11"/>
        <v>1.0647559584395334</v>
      </c>
      <c r="W34" s="19"/>
      <c r="X34" s="3"/>
      <c r="Z34" s="54">
        <f t="shared" si="12"/>
        <v>0.98935244041560466</v>
      </c>
      <c r="AA34" s="7">
        <f t="shared" si="13"/>
        <v>2.0177959589519303</v>
      </c>
      <c r="AB34">
        <f t="shared" si="14"/>
        <v>-1.6199812393424362</v>
      </c>
    </row>
    <row r="35" spans="1:28" x14ac:dyDescent="0.25">
      <c r="A35" s="41">
        <v>23</v>
      </c>
      <c r="B35" s="42">
        <v>39604</v>
      </c>
      <c r="C35" s="43"/>
      <c r="D35" s="63">
        <v>195</v>
      </c>
      <c r="E35" s="56">
        <f t="shared" si="15"/>
        <v>15</v>
      </c>
      <c r="F35" s="70">
        <f>+'[1]Con 10hE'!E36</f>
        <v>0.90714912280701743</v>
      </c>
      <c r="G35" s="57">
        <f t="shared" si="2"/>
        <v>13.607236842105262</v>
      </c>
      <c r="H35" s="57">
        <f>+F35/G91</f>
        <v>6.2947126452873241E-4</v>
      </c>
      <c r="I35" s="48">
        <f t="shared" si="0"/>
        <v>9.4420689679309867E-3</v>
      </c>
      <c r="J35" s="50">
        <f t="shared" si="1"/>
        <v>1.8412034487465425</v>
      </c>
      <c r="K35" s="58">
        <f t="shared" si="17"/>
        <v>0.62947126452873237</v>
      </c>
      <c r="L35" s="50">
        <f t="shared" si="3"/>
        <v>0.3173828125</v>
      </c>
      <c r="M35" s="50">
        <f t="shared" si="4"/>
        <v>0.37439088848824492</v>
      </c>
      <c r="N35" s="51">
        <f t="shared" si="5"/>
        <v>0.33749032138128549</v>
      </c>
      <c r="O35" s="52">
        <f t="shared" si="6"/>
        <v>0.35058837032208739</v>
      </c>
      <c r="P35" s="51">
        <f t="shared" si="7"/>
        <v>5.0653017934610849E-2</v>
      </c>
      <c r="Q35" s="50">
        <f t="shared" si="8"/>
        <v>0.69158110657226535</v>
      </c>
      <c r="R35" s="19">
        <f t="shared" si="19"/>
        <v>11.424636052631579</v>
      </c>
      <c r="S35" s="19">
        <f t="shared" si="9"/>
        <v>0.91397088421052619</v>
      </c>
      <c r="T35" s="12">
        <f t="shared" si="16"/>
        <v>1.9446314385964909</v>
      </c>
      <c r="U35" s="53">
        <f t="shared" si="10"/>
        <v>28.951754385964911</v>
      </c>
      <c r="V35" s="19">
        <f t="shared" si="11"/>
        <v>2.008962021883169</v>
      </c>
      <c r="W35" s="19"/>
      <c r="Y35" s="71"/>
      <c r="Z35" s="54">
        <f t="shared" si="12"/>
        <v>0.97991037978116835</v>
      </c>
      <c r="AA35" s="7">
        <f t="shared" si="13"/>
        <v>1.9616667651908666</v>
      </c>
      <c r="AB35">
        <f t="shared" si="14"/>
        <v>-0.98245487097759732</v>
      </c>
    </row>
    <row r="36" spans="1:28" x14ac:dyDescent="0.25">
      <c r="A36" s="41">
        <v>24</v>
      </c>
      <c r="B36" s="42">
        <v>39604</v>
      </c>
      <c r="C36" s="43"/>
      <c r="D36" s="55">
        <v>210</v>
      </c>
      <c r="E36" s="56">
        <f>+D36-D35</f>
        <v>15</v>
      </c>
      <c r="F36" s="67">
        <f>+'[1]Con 10hE'!E37</f>
        <v>1.0935526315789474</v>
      </c>
      <c r="G36" s="47">
        <f t="shared" si="2"/>
        <v>16.403289473684211</v>
      </c>
      <c r="H36" s="47">
        <f>+F36/G91</f>
        <v>7.5881675958491942E-4</v>
      </c>
      <c r="I36" s="48">
        <f t="shared" si="0"/>
        <v>1.1382251393773791E-2</v>
      </c>
      <c r="J36" s="49">
        <f t="shared" si="1"/>
        <v>2.390272792692496</v>
      </c>
      <c r="K36" s="45">
        <f t="shared" si="17"/>
        <v>0.75881675958491945</v>
      </c>
      <c r="L36" s="50">
        <f t="shared" si="3"/>
        <v>0.341796875</v>
      </c>
      <c r="M36" s="50">
        <f t="shared" si="4"/>
        <v>0.45132176292981735</v>
      </c>
      <c r="N36" s="51">
        <f t="shared" si="5"/>
        <v>0.3558854580087138</v>
      </c>
      <c r="O36" s="52">
        <f t="shared" si="6"/>
        <v>0.36600233319672748</v>
      </c>
      <c r="P36" s="51">
        <f t="shared" si="7"/>
        <v>7.773091044827754E-2</v>
      </c>
      <c r="Q36" s="50">
        <f t="shared" si="8"/>
        <v>0.75443204642727302</v>
      </c>
      <c r="R36" s="19">
        <f t="shared" si="19"/>
        <v>13.772201842105265</v>
      </c>
      <c r="S36" s="19">
        <f t="shared" si="9"/>
        <v>1.1017761473684211</v>
      </c>
      <c r="T36" s="12">
        <f t="shared" si="16"/>
        <v>3.046407585964912</v>
      </c>
      <c r="U36" s="53">
        <f t="shared" si="10"/>
        <v>45.355043859649122</v>
      </c>
      <c r="V36" s="19">
        <f t="shared" si="11"/>
        <v>3.1471861566721335</v>
      </c>
      <c r="Z36" s="54">
        <f t="shared" si="12"/>
        <v>0.96852813843327867</v>
      </c>
      <c r="AA36" s="7">
        <f t="shared" si="13"/>
        <v>1.907098921762719</v>
      </c>
      <c r="AB36">
        <f t="shared" si="14"/>
        <v>-0.79557475055578475</v>
      </c>
    </row>
    <row r="37" spans="1:28" x14ac:dyDescent="0.25">
      <c r="A37" s="41">
        <v>25</v>
      </c>
      <c r="B37" s="42">
        <v>39604</v>
      </c>
      <c r="C37" s="43"/>
      <c r="D37" s="63">
        <v>225</v>
      </c>
      <c r="E37" s="56">
        <f t="shared" si="15"/>
        <v>15</v>
      </c>
      <c r="F37" s="72">
        <f>+'[1]Con 10hE'!E38</f>
        <v>1.3128508771929825</v>
      </c>
      <c r="G37" s="47">
        <f t="shared" si="2"/>
        <v>19.692763157894738</v>
      </c>
      <c r="H37" s="47">
        <f>+F37/G91</f>
        <v>9.1098793023925686E-4</v>
      </c>
      <c r="I37" s="48">
        <f t="shared" si="0"/>
        <v>1.3664818953588852E-2</v>
      </c>
      <c r="J37" s="49">
        <f t="shared" si="1"/>
        <v>3.0745842645574917</v>
      </c>
      <c r="K37" s="45">
        <f t="shared" si="17"/>
        <v>0.91098793023925684</v>
      </c>
      <c r="L37" s="50">
        <f t="shared" si="3"/>
        <v>0.3662109375</v>
      </c>
      <c r="M37" s="50">
        <f t="shared" si="4"/>
        <v>0.54182867403754953</v>
      </c>
      <c r="N37" s="51">
        <f t="shared" si="5"/>
        <v>0.37455862231104725</v>
      </c>
      <c r="O37" s="52">
        <f t="shared" si="6"/>
        <v>0.38149575418611492</v>
      </c>
      <c r="P37" s="51">
        <f t="shared" si="7"/>
        <v>0.11155017123259221</v>
      </c>
      <c r="Q37" s="50">
        <f t="shared" si="8"/>
        <v>0.81361189381747645</v>
      </c>
      <c r="R37" s="19">
        <f t="shared" si="19"/>
        <v>16.534043947368421</v>
      </c>
      <c r="S37" s="19">
        <f t="shared" si="9"/>
        <v>1.3227235157894737</v>
      </c>
      <c r="T37" s="12">
        <f t="shared" si="16"/>
        <v>4.3691311017543857</v>
      </c>
      <c r="U37" s="53">
        <f t="shared" si="10"/>
        <v>65.04780701754386</v>
      </c>
      <c r="V37" s="19">
        <f t="shared" si="11"/>
        <v>4.513666845985016</v>
      </c>
      <c r="W37" s="73">
        <f>+((([1]Resumen!N6-F36)*(D37-D36))/(F37-F36))+D36</f>
        <v>219.47550000000001</v>
      </c>
      <c r="X37" s="74" t="s">
        <v>74</v>
      </c>
      <c r="Z37" s="54">
        <f t="shared" si="12"/>
        <v>0.9548633315401498</v>
      </c>
      <c r="AA37" s="7">
        <f t="shared" si="13"/>
        <v>1.8540489964587077</v>
      </c>
      <c r="AB37">
        <f t="shared" si="14"/>
        <v>-0.6128054270742046</v>
      </c>
    </row>
    <row r="38" spans="1:28" x14ac:dyDescent="0.25">
      <c r="A38" s="41">
        <v>26</v>
      </c>
      <c r="B38" s="42">
        <v>39604</v>
      </c>
      <c r="C38" s="43"/>
      <c r="D38" s="55">
        <v>240</v>
      </c>
      <c r="E38" s="56">
        <f t="shared" si="15"/>
        <v>15</v>
      </c>
      <c r="F38" s="72">
        <f>+'[1]Con 10hE'!E39</f>
        <v>1.4992543859649123</v>
      </c>
      <c r="G38" s="47">
        <f t="shared" si="2"/>
        <v>22.488815789473684</v>
      </c>
      <c r="H38" s="47">
        <f>+F38/G91</f>
        <v>1.0403334252954437E-3</v>
      </c>
      <c r="I38" s="48">
        <f t="shared" si="0"/>
        <v>1.5605001379431655E-2</v>
      </c>
      <c r="J38" s="49">
        <f t="shared" si="1"/>
        <v>3.7452003310635971</v>
      </c>
      <c r="K38" s="45">
        <f t="shared" si="17"/>
        <v>1.0403334252954437</v>
      </c>
      <c r="L38" s="50">
        <f t="shared" si="3"/>
        <v>0.390625</v>
      </c>
      <c r="M38" s="50">
        <f t="shared" si="4"/>
        <v>0.61875954847912185</v>
      </c>
      <c r="N38" s="51">
        <f t="shared" si="5"/>
        <v>0.39345040074440457</v>
      </c>
      <c r="O38" s="52">
        <f t="shared" si="6"/>
        <v>0.39702245493702404</v>
      </c>
      <c r="P38" s="51">
        <f t="shared" si="7"/>
        <v>0.15162054626821755</v>
      </c>
      <c r="Q38" s="50">
        <f t="shared" si="8"/>
        <v>0.86871612195547776</v>
      </c>
      <c r="R38" s="19">
        <f t="shared" si="19"/>
        <v>18.881609736842105</v>
      </c>
      <c r="S38" s="19">
        <f t="shared" si="9"/>
        <v>1.5105287789473685</v>
      </c>
      <c r="T38" s="12">
        <f t="shared" si="16"/>
        <v>5.8796598807017544</v>
      </c>
      <c r="U38" s="53">
        <f t="shared" si="10"/>
        <v>87.536622807017551</v>
      </c>
      <c r="V38" s="19">
        <f t="shared" si="11"/>
        <v>6.074165606643227</v>
      </c>
      <c r="Z38" s="54">
        <f t="shared" si="12"/>
        <v>0.93925834393356777</v>
      </c>
      <c r="AA38" s="7">
        <f t="shared" si="13"/>
        <v>1.802474765227325</v>
      </c>
      <c r="AB38">
        <f t="shared" si="14"/>
        <v>-0.48003853333285784</v>
      </c>
    </row>
    <row r="39" spans="1:28" x14ac:dyDescent="0.25">
      <c r="A39" s="41">
        <v>27</v>
      </c>
      <c r="B39" s="42">
        <v>39604</v>
      </c>
      <c r="C39" s="43"/>
      <c r="D39" s="63">
        <v>255</v>
      </c>
      <c r="E39" s="56">
        <f t="shared" si="15"/>
        <v>15</v>
      </c>
      <c r="F39" s="72">
        <f>+'[1]Con 10hE'!E40</f>
        <v>1.7624122807017546</v>
      </c>
      <c r="G39" s="47">
        <f t="shared" si="2"/>
        <v>26.436184210526321</v>
      </c>
      <c r="H39" s="47">
        <f>+F39/G91</f>
        <v>1.2229388300806488E-3</v>
      </c>
      <c r="I39" s="48">
        <f t="shared" si="0"/>
        <v>1.834408245120973E-2</v>
      </c>
      <c r="J39" s="49">
        <f t="shared" si="1"/>
        <v>4.6777410250584817</v>
      </c>
      <c r="K39" s="45">
        <f t="shared" si="17"/>
        <v>1.2229388300806487</v>
      </c>
      <c r="L39" s="50">
        <f t="shared" si="3"/>
        <v>0.4150390625</v>
      </c>
      <c r="M39" s="50">
        <f t="shared" si="4"/>
        <v>0.72736784180840053</v>
      </c>
      <c r="N39" s="51">
        <f t="shared" si="5"/>
        <v>0.41249702586528669</v>
      </c>
      <c r="O39" s="52">
        <f t="shared" si="6"/>
        <v>0.41253418124366315</v>
      </c>
      <c r="P39" s="51">
        <f t="shared" si="7"/>
        <v>0.19709392673586168</v>
      </c>
      <c r="Q39" s="50">
        <f t="shared" si="8"/>
        <v>0.9194498923702692</v>
      </c>
      <c r="R39" s="19">
        <f t="shared" si="19"/>
        <v>22.195820263157898</v>
      </c>
      <c r="S39" s="19">
        <f t="shared" si="9"/>
        <v>1.7756656210526318</v>
      </c>
      <c r="T39" s="12">
        <f t="shared" si="16"/>
        <v>7.655325501754386</v>
      </c>
      <c r="U39" s="53">
        <f t="shared" si="10"/>
        <v>113.97280701754387</v>
      </c>
      <c r="V39" s="19">
        <f t="shared" si="11"/>
        <v>7.9085722327301395</v>
      </c>
      <c r="W39" s="19"/>
      <c r="X39" s="3"/>
      <c r="Z39" s="54">
        <f t="shared" si="12"/>
        <v>0.92091427767269862</v>
      </c>
      <c r="AA39" s="7">
        <f t="shared" si="13"/>
        <v>1.7523351785669261</v>
      </c>
      <c r="AB39">
        <f t="shared" si="14"/>
        <v>-0.3183229571832677</v>
      </c>
    </row>
    <row r="40" spans="1:28" x14ac:dyDescent="0.25">
      <c r="A40" s="41">
        <v>28</v>
      </c>
      <c r="B40" s="42">
        <v>39604</v>
      </c>
      <c r="C40" s="43"/>
      <c r="D40" s="75">
        <v>270</v>
      </c>
      <c r="E40" s="56">
        <f t="shared" si="15"/>
        <v>15</v>
      </c>
      <c r="F40" s="72">
        <f>+'[1]Con 10hE'!E41</f>
        <v>1.9378508771929825</v>
      </c>
      <c r="G40" s="47">
        <f t="shared" si="2"/>
        <v>29.067763157894738</v>
      </c>
      <c r="H40" s="47">
        <f>+F40/G91</f>
        <v>1.3446757666041188E-3</v>
      </c>
      <c r="I40" s="48">
        <f t="shared" si="0"/>
        <v>2.0170136499061783E-2</v>
      </c>
      <c r="J40" s="49">
        <f t="shared" si="1"/>
        <v>5.4459368547466811</v>
      </c>
      <c r="K40" s="45">
        <f t="shared" si="17"/>
        <v>1.3446757666041187</v>
      </c>
      <c r="L40" s="50">
        <f t="shared" si="3"/>
        <v>0.439453125</v>
      </c>
      <c r="M40" s="50">
        <f t="shared" si="4"/>
        <v>0.79977337069458632</v>
      </c>
      <c r="N40" s="51">
        <f t="shared" si="5"/>
        <v>0.43163066144132589</v>
      </c>
      <c r="O40" s="52">
        <f t="shared" si="6"/>
        <v>0.42798082679142335</v>
      </c>
      <c r="P40" s="51">
        <f t="shared" si="7"/>
        <v>0.24688175850115576</v>
      </c>
      <c r="Q40" s="50">
        <f t="shared" si="8"/>
        <v>0.9656143182580591</v>
      </c>
      <c r="R40" s="19">
        <f t="shared" si="19"/>
        <v>24.405293947368424</v>
      </c>
      <c r="S40" s="19">
        <f t="shared" si="9"/>
        <v>1.952423515789474</v>
      </c>
      <c r="T40" s="12">
        <f t="shared" si="16"/>
        <v>9.6077490175438598</v>
      </c>
      <c r="U40" s="53">
        <f t="shared" si="10"/>
        <v>143.0405701754386</v>
      </c>
      <c r="V40" s="16">
        <f t="shared" si="11"/>
        <v>9.9255841024361846</v>
      </c>
      <c r="W40" s="19"/>
      <c r="X40" s="3"/>
      <c r="Z40" s="54">
        <f t="shared" si="12"/>
        <v>0.9007441589756382</v>
      </c>
      <c r="AA40" s="7">
        <f t="shared" si="13"/>
        <v>1.7035903288531822</v>
      </c>
      <c r="AB40">
        <f t="shared" si="14"/>
        <v>-0.22342687807921438</v>
      </c>
    </row>
    <row r="41" spans="1:28" x14ac:dyDescent="0.25">
      <c r="A41" s="41">
        <v>29</v>
      </c>
      <c r="B41" s="42">
        <v>39604</v>
      </c>
      <c r="C41" s="43"/>
      <c r="D41" s="76">
        <v>285</v>
      </c>
      <c r="E41" s="56">
        <f t="shared" si="15"/>
        <v>15</v>
      </c>
      <c r="F41" s="72">
        <f>+'[1]Con 10hE'!E42</f>
        <v>2.1461842105263158</v>
      </c>
      <c r="G41" s="57">
        <f t="shared" si="2"/>
        <v>32.192763157894738</v>
      </c>
      <c r="H41" s="57">
        <f>+F41/G91</f>
        <v>1.4892383787257393E-3</v>
      </c>
      <c r="I41" s="48">
        <f t="shared" si="0"/>
        <v>2.233857568088609E-2</v>
      </c>
      <c r="J41" s="50">
        <f t="shared" si="1"/>
        <v>6.3664940690525356</v>
      </c>
      <c r="K41" s="58">
        <f t="shared" si="17"/>
        <v>1.4892383787257393</v>
      </c>
      <c r="L41" s="50">
        <f t="shared" si="3"/>
        <v>0.4638671875</v>
      </c>
      <c r="M41" s="50">
        <f t="shared" si="4"/>
        <v>0.8857549362469318</v>
      </c>
      <c r="N41" s="51">
        <f t="shared" si="5"/>
        <v>0.45077974185201397</v>
      </c>
      <c r="O41" s="52">
        <f t="shared" si="6"/>
        <v>0.44331068059495393</v>
      </c>
      <c r="P41" s="51">
        <f t="shared" si="7"/>
        <v>0.29976764898628305</v>
      </c>
      <c r="Q41" s="50">
        <f t="shared" si="8"/>
        <v>1.0070936843829357</v>
      </c>
      <c r="R41" s="19">
        <f t="shared" si="19"/>
        <v>27.029043947368422</v>
      </c>
      <c r="S41" s="19">
        <f t="shared" si="9"/>
        <v>2.1623235157894736</v>
      </c>
      <c r="T41" s="12">
        <f t="shared" si="16"/>
        <v>11.770072533333334</v>
      </c>
      <c r="U41" s="53">
        <f t="shared" si="10"/>
        <v>175.23333333333335</v>
      </c>
      <c r="V41" s="16">
        <f t="shared" si="11"/>
        <v>12.159439698939952</v>
      </c>
      <c r="W41" s="77">
        <f>+(((10-V40)*(D41-D40))/(V41-V40))+D40</f>
        <v>270.49969141479164</v>
      </c>
      <c r="X41" s="66" t="s">
        <v>75</v>
      </c>
      <c r="Z41" s="54">
        <f t="shared" si="12"/>
        <v>0.87840560301060044</v>
      </c>
      <c r="AA41" s="7">
        <f t="shared" si="13"/>
        <v>1.6562014185753848</v>
      </c>
      <c r="AB41">
        <f t="shared" si="14"/>
        <v>-0.12131496229478078</v>
      </c>
    </row>
    <row r="42" spans="1:28" x14ac:dyDescent="0.25">
      <c r="A42" s="41">
        <v>30</v>
      </c>
      <c r="B42" s="42">
        <v>39604</v>
      </c>
      <c r="C42" s="43"/>
      <c r="D42" s="55">
        <v>300</v>
      </c>
      <c r="E42" s="56">
        <f t="shared" si="15"/>
        <v>15</v>
      </c>
      <c r="F42" s="72">
        <f>+'[1]Con 10hE'!E43</f>
        <v>2.168114035087719</v>
      </c>
      <c r="G42" s="47">
        <f t="shared" si="2"/>
        <v>32.521710526315786</v>
      </c>
      <c r="H42" s="47">
        <f>+F42/G91</f>
        <v>1.5044554957911729E-3</v>
      </c>
      <c r="I42" s="48">
        <f t="shared" si="0"/>
        <v>2.2566832436867593E-2</v>
      </c>
      <c r="J42" s="49">
        <f t="shared" si="1"/>
        <v>6.7700497310602774</v>
      </c>
      <c r="K42" s="45">
        <f t="shared" si="17"/>
        <v>1.5044554957911729</v>
      </c>
      <c r="L42" s="50">
        <f t="shared" si="3"/>
        <v>0.48828125</v>
      </c>
      <c r="M42" s="50">
        <f t="shared" si="4"/>
        <v>0.89480562735770497</v>
      </c>
      <c r="N42" s="51">
        <f t="shared" si="5"/>
        <v>0.46986936438317956</v>
      </c>
      <c r="O42" s="52">
        <f t="shared" si="6"/>
        <v>0.45847069668821161</v>
      </c>
      <c r="P42" s="51">
        <f t="shared" si="7"/>
        <v>0.35450332628951325</v>
      </c>
      <c r="Q42" s="50">
        <f t="shared" si="8"/>
        <v>1.0438436880726236</v>
      </c>
      <c r="R42" s="19">
        <f t="shared" si="19"/>
        <v>27.305228157894735</v>
      </c>
      <c r="S42" s="19">
        <f t="shared" si="9"/>
        <v>2.1844182526315792</v>
      </c>
      <c r="T42" s="12">
        <f t="shared" si="16"/>
        <v>13.954490785964913</v>
      </c>
      <c r="U42" s="53">
        <f t="shared" si="10"/>
        <v>207.75504385964913</v>
      </c>
      <c r="V42" s="19">
        <f t="shared" si="11"/>
        <v>14.416120950896111</v>
      </c>
      <c r="W42" s="19"/>
      <c r="X42" s="3"/>
      <c r="Z42" s="54">
        <f t="shared" si="12"/>
        <v>0.85583879049103895</v>
      </c>
      <c r="AA42" s="7">
        <f t="shared" si="13"/>
        <v>1.6101307294563265</v>
      </c>
      <c r="AB42">
        <f t="shared" si="14"/>
        <v>-0.11114876043007629</v>
      </c>
    </row>
    <row r="43" spans="1:28" x14ac:dyDescent="0.25">
      <c r="A43" s="41">
        <v>31</v>
      </c>
      <c r="B43" s="42">
        <v>39604</v>
      </c>
      <c r="C43" s="43"/>
      <c r="D43" s="55">
        <v>320</v>
      </c>
      <c r="E43" s="56">
        <f t="shared" si="15"/>
        <v>20</v>
      </c>
      <c r="F43" s="72">
        <f>+'[1]Con 10hE'!E44</f>
        <v>2.321622807017544</v>
      </c>
      <c r="G43" s="47">
        <f t="shared" si="2"/>
        <v>46.43245614035088</v>
      </c>
      <c r="H43" s="47">
        <f>+F43/G91</f>
        <v>1.6109753152492093E-3</v>
      </c>
      <c r="I43" s="48">
        <f t="shared" si="0"/>
        <v>3.2219506304984186E-2</v>
      </c>
      <c r="J43" s="49">
        <f t="shared" si="1"/>
        <v>10.310242017594939</v>
      </c>
      <c r="K43" s="45">
        <f t="shared" si="17"/>
        <v>1.6109753152492092</v>
      </c>
      <c r="L43" s="50">
        <f t="shared" si="3"/>
        <v>0.52083333333333337</v>
      </c>
      <c r="M43" s="50">
        <f t="shared" si="4"/>
        <v>0.95816046513311759</v>
      </c>
      <c r="N43" s="51">
        <f t="shared" si="5"/>
        <v>0.49509488454818446</v>
      </c>
      <c r="O43" s="52">
        <f t="shared" si="6"/>
        <v>0.47832625711410193</v>
      </c>
      <c r="P43" s="51">
        <f t="shared" si="7"/>
        <v>0.42829089891438465</v>
      </c>
      <c r="Q43" s="50">
        <f t="shared" si="8"/>
        <v>1.085522750297774</v>
      </c>
      <c r="R43" s="19">
        <f t="shared" si="19"/>
        <v>38.984690175438601</v>
      </c>
      <c r="S43" s="19">
        <f t="shared" si="9"/>
        <v>3.1187752140350877</v>
      </c>
      <c r="T43" s="12">
        <f t="shared" si="16"/>
        <v>17.073266</v>
      </c>
      <c r="U43" s="53">
        <f t="shared" si="10"/>
        <v>254.1875</v>
      </c>
      <c r="V43" s="19">
        <f t="shared" si="11"/>
        <v>17.638068737726645</v>
      </c>
      <c r="W43" s="19"/>
      <c r="X43" s="3"/>
      <c r="Z43" s="54">
        <f t="shared" si="12"/>
        <v>0.82361931262273358</v>
      </c>
      <c r="AA43" s="7">
        <f t="shared" si="13"/>
        <v>1.5506904790471394</v>
      </c>
      <c r="AB43">
        <f t="shared" si="14"/>
        <v>-4.274001489890486E-2</v>
      </c>
    </row>
    <row r="44" spans="1:28" x14ac:dyDescent="0.25">
      <c r="A44" s="41">
        <v>32</v>
      </c>
      <c r="B44" s="42">
        <v>39604</v>
      </c>
      <c r="C44" s="43"/>
      <c r="D44" s="55">
        <v>340</v>
      </c>
      <c r="E44" s="56">
        <f t="shared" si="15"/>
        <v>20</v>
      </c>
      <c r="F44" s="72">
        <f>+'[1]Con 10hE'!E45</f>
        <v>2.3874122807017542</v>
      </c>
      <c r="G44" s="47">
        <f t="shared" si="2"/>
        <v>47.748245614035085</v>
      </c>
      <c r="H44" s="47">
        <f>+F44/G91</f>
        <v>1.6566266664455103E-3</v>
      </c>
      <c r="I44" s="48">
        <f t="shared" si="0"/>
        <v>3.313253332891021E-2</v>
      </c>
      <c r="J44" s="49">
        <f t="shared" si="1"/>
        <v>11.265061331829472</v>
      </c>
      <c r="K44" s="45">
        <f t="shared" si="17"/>
        <v>1.6566266664455103</v>
      </c>
      <c r="L44" s="50">
        <f t="shared" si="3"/>
        <v>0.55338541666666674</v>
      </c>
      <c r="M44" s="50">
        <f t="shared" si="4"/>
        <v>0.98531253846543709</v>
      </c>
      <c r="N44" s="51">
        <f t="shared" si="5"/>
        <v>0.51988531078183009</v>
      </c>
      <c r="O44" s="52">
        <f t="shared" si="6"/>
        <v>0.49765353609995594</v>
      </c>
      <c r="P44" s="51">
        <f t="shared" si="7"/>
        <v>0.50065709753641574</v>
      </c>
      <c r="Q44" s="50">
        <f t="shared" si="8"/>
        <v>1.1190048848140204</v>
      </c>
      <c r="R44" s="19">
        <f t="shared" si="19"/>
        <v>40.089427017543855</v>
      </c>
      <c r="S44" s="19">
        <f t="shared" si="9"/>
        <v>3.2071541614035084</v>
      </c>
      <c r="T44" s="12">
        <f t="shared" si="16"/>
        <v>20.280420161403509</v>
      </c>
      <c r="U44" s="53">
        <f t="shared" si="10"/>
        <v>301.93574561403511</v>
      </c>
      <c r="V44" s="19">
        <f t="shared" si="11"/>
        <v>20.951319146366746</v>
      </c>
      <c r="W44" s="19"/>
      <c r="X44" s="3"/>
      <c r="Z44" s="54">
        <f t="shared" si="12"/>
        <v>0.79048680853633257</v>
      </c>
      <c r="AA44" s="7">
        <f t="shared" si="13"/>
        <v>1.4934445494493436</v>
      </c>
      <c r="AB44">
        <f t="shared" si="14"/>
        <v>-1.4796390203938102E-2</v>
      </c>
    </row>
    <row r="45" spans="1:28" x14ac:dyDescent="0.25">
      <c r="A45" s="41">
        <v>33</v>
      </c>
      <c r="B45" s="42">
        <v>39604</v>
      </c>
      <c r="C45" s="43"/>
      <c r="D45" s="55">
        <v>360</v>
      </c>
      <c r="E45" s="56">
        <f t="shared" si="15"/>
        <v>20</v>
      </c>
      <c r="F45" s="72">
        <f>+'[1]Con 10hE'!E46</f>
        <v>2.3874122807017542</v>
      </c>
      <c r="G45" s="47">
        <f t="shared" si="2"/>
        <v>47.748245614035085</v>
      </c>
      <c r="H45" s="47">
        <f>+F45/G91</f>
        <v>1.6566266664455103E-3</v>
      </c>
      <c r="I45" s="48">
        <f t="shared" si="0"/>
        <v>3.313253332891021E-2</v>
      </c>
      <c r="J45" s="49">
        <f t="shared" si="1"/>
        <v>11.927711998407675</v>
      </c>
      <c r="K45" s="45">
        <f t="shared" si="17"/>
        <v>1.6566266664455103</v>
      </c>
      <c r="L45" s="50">
        <f t="shared" si="3"/>
        <v>0.5859375</v>
      </c>
      <c r="M45" s="50">
        <f t="shared" si="4"/>
        <v>0.98531253846543709</v>
      </c>
      <c r="N45" s="51">
        <f t="shared" si="5"/>
        <v>0.54404453573482114</v>
      </c>
      <c r="O45" s="52">
        <f t="shared" si="6"/>
        <v>0.5163214896380538</v>
      </c>
      <c r="P45" s="51">
        <f t="shared" si="7"/>
        <v>0.56944988467428803</v>
      </c>
      <c r="Q45" s="50">
        <f t="shared" si="8"/>
        <v>1.1445914057224196</v>
      </c>
      <c r="R45" s="19">
        <f t="shared" si="19"/>
        <v>40.089427017543855</v>
      </c>
      <c r="S45" s="19">
        <f t="shared" si="9"/>
        <v>3.2071541614035084</v>
      </c>
      <c r="T45" s="12">
        <f t="shared" si="16"/>
        <v>23.487574322807017</v>
      </c>
      <c r="U45" s="53">
        <f t="shared" si="10"/>
        <v>349.68399122807023</v>
      </c>
      <c r="V45" s="19">
        <f t="shared" si="11"/>
        <v>24.264569555006847</v>
      </c>
      <c r="W45" s="19"/>
      <c r="X45" s="3"/>
      <c r="Z45" s="54">
        <f t="shared" si="12"/>
        <v>0.75735430444993157</v>
      </c>
      <c r="AA45" s="7">
        <f t="shared" si="13"/>
        <v>1.4383119342104069</v>
      </c>
      <c r="AB45">
        <f t="shared" si="14"/>
        <v>-1.4796390203938102E-2</v>
      </c>
    </row>
    <row r="46" spans="1:28" x14ac:dyDescent="0.25">
      <c r="A46" s="41">
        <v>34</v>
      </c>
      <c r="B46" s="42">
        <v>39604</v>
      </c>
      <c r="C46" s="43"/>
      <c r="D46" s="55">
        <v>380</v>
      </c>
      <c r="E46" s="56">
        <f t="shared" si="15"/>
        <v>20</v>
      </c>
      <c r="F46" s="78">
        <f>+'[1]Con 10hE'!E47</f>
        <v>2.3325877192982456</v>
      </c>
      <c r="G46" s="57">
        <f t="shared" si="2"/>
        <v>46.651754385964914</v>
      </c>
      <c r="H46" s="57">
        <f>+F46/G91</f>
        <v>1.6185838737819262E-3</v>
      </c>
      <c r="I46" s="48">
        <f t="shared" si="0"/>
        <v>3.2371677475638523E-2</v>
      </c>
      <c r="J46" s="50">
        <f t="shared" si="1"/>
        <v>12.301237440742639</v>
      </c>
      <c r="K46" s="58">
        <f t="shared" si="17"/>
        <v>1.6185838737819263</v>
      </c>
      <c r="L46" s="50">
        <f t="shared" si="3"/>
        <v>0.61848958333333337</v>
      </c>
      <c r="M46" s="50">
        <f t="shared" si="4"/>
        <v>0.96268581068850412</v>
      </c>
      <c r="N46" s="51">
        <f t="shared" si="5"/>
        <v>0.56737364294878201</v>
      </c>
      <c r="O46" s="52">
        <f t="shared" si="6"/>
        <v>0.53419957941313134</v>
      </c>
      <c r="P46" s="51">
        <f t="shared" si="7"/>
        <v>0.63299233645630804</v>
      </c>
      <c r="Q46" s="50">
        <f t="shared" si="8"/>
        <v>1.1626781845922307</v>
      </c>
      <c r="R46" s="19">
        <f t="shared" si="19"/>
        <v>39.168812982456139</v>
      </c>
      <c r="S46" s="19">
        <f t="shared" si="9"/>
        <v>3.1335050385964909</v>
      </c>
      <c r="T46" s="12">
        <f t="shared" si="16"/>
        <v>26.62107936140351</v>
      </c>
      <c r="U46" s="53">
        <f t="shared" si="10"/>
        <v>396.33574561403515</v>
      </c>
      <c r="V46" s="19">
        <f t="shared" si="11"/>
        <v>27.501734445472309</v>
      </c>
      <c r="W46" s="19"/>
      <c r="X46" s="3"/>
      <c r="Y46" s="3"/>
      <c r="Z46" s="54">
        <f t="shared" si="12"/>
        <v>0.72498265554527697</v>
      </c>
      <c r="AA46" s="7">
        <f t="shared" si="13"/>
        <v>1.3852146173454236</v>
      </c>
      <c r="AB46">
        <f t="shared" si="14"/>
        <v>-3.8028181385985578E-2</v>
      </c>
    </row>
    <row r="47" spans="1:28" x14ac:dyDescent="0.25">
      <c r="A47" s="41">
        <v>35</v>
      </c>
      <c r="B47" s="42">
        <v>39604</v>
      </c>
      <c r="C47" s="43"/>
      <c r="D47" s="79">
        <v>400</v>
      </c>
      <c r="E47" s="56">
        <f t="shared" si="15"/>
        <v>20</v>
      </c>
      <c r="F47" s="78">
        <f>+'[1]Con 10hE'!E48</f>
        <v>2.4641666666666668</v>
      </c>
      <c r="G47" s="57">
        <f t="shared" si="2"/>
        <v>49.283333333333339</v>
      </c>
      <c r="H47" s="57">
        <f>+F47/G91</f>
        <v>1.7098865761745287E-3</v>
      </c>
      <c r="I47" s="48">
        <f t="shared" si="0"/>
        <v>3.4197731523490572E-2</v>
      </c>
      <c r="J47" s="50">
        <f t="shared" si="1"/>
        <v>13.679092609396228</v>
      </c>
      <c r="K47" s="58">
        <f t="shared" si="17"/>
        <v>1.7098865761745288</v>
      </c>
      <c r="L47" s="50">
        <f t="shared" si="3"/>
        <v>0.65104166666666674</v>
      </c>
      <c r="M47" s="61">
        <f t="shared" si="4"/>
        <v>1.0169899573531436</v>
      </c>
      <c r="N47" s="51">
        <f t="shared" si="5"/>
        <v>0.58967356608822719</v>
      </c>
      <c r="O47" s="52">
        <f t="shared" si="6"/>
        <v>0.55115927025574474</v>
      </c>
      <c r="P47" s="51">
        <f t="shared" si="7"/>
        <v>0.69007584714522696</v>
      </c>
      <c r="Q47" s="50">
        <f t="shared" si="8"/>
        <v>1.1737294146581696</v>
      </c>
      <c r="R47" s="19">
        <f t="shared" si="19"/>
        <v>41.378286666666668</v>
      </c>
      <c r="S47" s="19">
        <f t="shared" si="9"/>
        <v>3.3102629333333335</v>
      </c>
      <c r="T47" s="12">
        <f t="shared" si="16"/>
        <v>29.931342294736844</v>
      </c>
      <c r="U47" s="53">
        <f t="shared" si="10"/>
        <v>445.61907894736851</v>
      </c>
      <c r="V47" s="19">
        <f t="shared" si="11"/>
        <v>30.921504579556906</v>
      </c>
      <c r="W47" s="71" t="s">
        <v>76</v>
      </c>
      <c r="Z47" s="80">
        <f t="shared" si="12"/>
        <v>0.69078495420443087</v>
      </c>
      <c r="AA47" s="81">
        <f t="shared" si="13"/>
        <v>1.3340774629397807</v>
      </c>
      <c r="AB47" s="62">
        <f t="shared" si="14"/>
        <v>1.6847242241996942E-2</v>
      </c>
    </row>
    <row r="48" spans="1:28" x14ac:dyDescent="0.25">
      <c r="A48" s="41">
        <v>36</v>
      </c>
      <c r="B48" s="42">
        <v>39604</v>
      </c>
      <c r="C48" s="43"/>
      <c r="D48" s="79">
        <v>420</v>
      </c>
      <c r="E48" s="56">
        <f t="shared" si="15"/>
        <v>20</v>
      </c>
      <c r="F48" s="78">
        <f>+'[1]Con 10hE'!E49</f>
        <v>2.4641666666666668</v>
      </c>
      <c r="G48" s="57">
        <f t="shared" si="2"/>
        <v>49.283333333333339</v>
      </c>
      <c r="H48" s="57">
        <f>+F48/G91</f>
        <v>1.7098865761745287E-3</v>
      </c>
      <c r="I48" s="48">
        <f t="shared" si="0"/>
        <v>3.4197731523490572E-2</v>
      </c>
      <c r="J48" s="50">
        <f t="shared" si="1"/>
        <v>14.36304723986604</v>
      </c>
      <c r="K48" s="58">
        <f t="shared" si="17"/>
        <v>1.7098865761745288</v>
      </c>
      <c r="L48" s="50">
        <f t="shared" si="3"/>
        <v>0.68359375</v>
      </c>
      <c r="M48" s="50">
        <f t="shared" si="4"/>
        <v>1.0169899573531436</v>
      </c>
      <c r="N48" s="51">
        <f t="shared" si="5"/>
        <v>0.61074786942104742</v>
      </c>
      <c r="O48" s="52">
        <f t="shared" si="6"/>
        <v>0.56707555321496683</v>
      </c>
      <c r="P48" s="51">
        <f t="shared" si="7"/>
        <v>0.73991911818498879</v>
      </c>
      <c r="Q48" s="50">
        <f t="shared" si="8"/>
        <v>1.1782555954570038</v>
      </c>
      <c r="R48" s="19">
        <f t="shared" si="19"/>
        <v>41.378286666666668</v>
      </c>
      <c r="S48" s="19">
        <f t="shared" si="9"/>
        <v>3.3102629333333335</v>
      </c>
      <c r="T48" s="12">
        <f t="shared" si="16"/>
        <v>33.241605228070178</v>
      </c>
      <c r="U48" s="53">
        <f t="shared" si="10"/>
        <v>494.90241228070187</v>
      </c>
      <c r="V48" s="19">
        <f t="shared" si="11"/>
        <v>34.341274713641504</v>
      </c>
      <c r="W48" s="71" t="s">
        <v>76</v>
      </c>
      <c r="Z48" s="54">
        <f t="shared" si="12"/>
        <v>0.65658725286358499</v>
      </c>
      <c r="AA48" s="7">
        <f t="shared" si="13"/>
        <v>1.2848281088272926</v>
      </c>
      <c r="AB48">
        <f t="shared" si="14"/>
        <v>1.6847242241996942E-2</v>
      </c>
    </row>
    <row r="49" spans="1:28" x14ac:dyDescent="0.25">
      <c r="A49" s="41">
        <v>37</v>
      </c>
      <c r="B49" s="42">
        <v>39604</v>
      </c>
      <c r="C49" s="43"/>
      <c r="D49" s="55">
        <v>440</v>
      </c>
      <c r="E49" s="56">
        <f>+D49-D48</f>
        <v>20</v>
      </c>
      <c r="F49" s="72">
        <f>+'[1]Con 10hE'!E50</f>
        <v>2.3325877192982456</v>
      </c>
      <c r="G49" s="47">
        <f t="shared" si="2"/>
        <v>46.651754385964914</v>
      </c>
      <c r="H49" s="47">
        <f>+F49/G91</f>
        <v>1.6185838737819262E-3</v>
      </c>
      <c r="I49" s="48">
        <f t="shared" si="0"/>
        <v>3.2371677475638523E-2</v>
      </c>
      <c r="J49" s="49">
        <f t="shared" si="1"/>
        <v>14.24353808928095</v>
      </c>
      <c r="K49" s="45">
        <f t="shared" si="17"/>
        <v>1.6185838737819263</v>
      </c>
      <c r="L49" s="50">
        <f t="shared" si="3"/>
        <v>0.71614583333333337</v>
      </c>
      <c r="M49" s="50">
        <f t="shared" si="4"/>
        <v>0.96268581068850412</v>
      </c>
      <c r="N49" s="51">
        <f t="shared" si="5"/>
        <v>0.6304055964155757</v>
      </c>
      <c r="O49" s="52">
        <f t="shared" si="6"/>
        <v>0.58182846932067722</v>
      </c>
      <c r="P49" s="51">
        <f t="shared" si="7"/>
        <v>0.78210949369805727</v>
      </c>
      <c r="Q49" s="50">
        <f t="shared" si="8"/>
        <v>1.1767952645287485</v>
      </c>
      <c r="R49" s="19">
        <f t="shared" si="19"/>
        <v>39.168812982456139</v>
      </c>
      <c r="S49" s="19">
        <f t="shared" si="9"/>
        <v>3.1335050385964909</v>
      </c>
      <c r="T49" s="12">
        <f t="shared" si="16"/>
        <v>36.375110266666667</v>
      </c>
      <c r="U49" s="53">
        <f t="shared" si="10"/>
        <v>541.55416666666679</v>
      </c>
      <c r="V49" s="19">
        <f t="shared" si="11"/>
        <v>37.578439604106968</v>
      </c>
      <c r="W49" s="19"/>
      <c r="X49" s="3"/>
      <c r="Z49" s="54">
        <f t="shared" si="12"/>
        <v>0.62421560395893039</v>
      </c>
      <c r="AA49" s="7">
        <f t="shared" si="13"/>
        <v>1.2373968641933593</v>
      </c>
      <c r="AB49">
        <f t="shared" si="14"/>
        <v>-3.8028181385985578E-2</v>
      </c>
    </row>
    <row r="50" spans="1:28" x14ac:dyDescent="0.25">
      <c r="A50" s="41">
        <v>38</v>
      </c>
      <c r="B50" s="42">
        <v>39604</v>
      </c>
      <c r="C50" s="43"/>
      <c r="D50" s="55">
        <v>460</v>
      </c>
      <c r="E50" s="56">
        <f t="shared" si="15"/>
        <v>20</v>
      </c>
      <c r="F50" s="72">
        <f>+'[1]Con 10hE'!E51</f>
        <v>2.266798245614035</v>
      </c>
      <c r="G50" s="47">
        <f t="shared" si="2"/>
        <v>45.335964912280701</v>
      </c>
      <c r="H50" s="47">
        <f>+F50/G91</f>
        <v>1.5729325225856249E-3</v>
      </c>
      <c r="I50" s="48">
        <f t="shared" si="0"/>
        <v>3.1458650451712498E-2</v>
      </c>
      <c r="J50" s="49">
        <f t="shared" si="1"/>
        <v>14.470979207787749</v>
      </c>
      <c r="K50" s="45">
        <f t="shared" si="17"/>
        <v>1.572932522585625</v>
      </c>
      <c r="L50" s="50">
        <f t="shared" si="3"/>
        <v>0.74869791666666674</v>
      </c>
      <c r="M50" s="50">
        <f t="shared" si="4"/>
        <v>0.9355337373561845</v>
      </c>
      <c r="N50" s="51">
        <f t="shared" si="5"/>
        <v>0.64846412947901422</v>
      </c>
      <c r="O50" s="52">
        <f t="shared" si="6"/>
        <v>0.59530460826614273</v>
      </c>
      <c r="P50" s="51">
        <f t="shared" si="7"/>
        <v>0.81653808009520135</v>
      </c>
      <c r="Q50" s="50">
        <f t="shared" si="8"/>
        <v>1.1699000220117972</v>
      </c>
      <c r="R50" s="19">
        <f t="shared" si="19"/>
        <v>38.064076140350878</v>
      </c>
      <c r="S50" s="19">
        <f t="shared" si="9"/>
        <v>3.0451260912280702</v>
      </c>
      <c r="T50" s="12">
        <f t="shared" si="16"/>
        <v>39.420236357894737</v>
      </c>
      <c r="U50" s="53">
        <f t="shared" si="10"/>
        <v>586.89013157894749</v>
      </c>
      <c r="V50" s="19">
        <f t="shared" si="11"/>
        <v>40.724301872762865</v>
      </c>
      <c r="W50" s="19"/>
      <c r="X50" s="3"/>
      <c r="Z50" s="54">
        <f t="shared" si="12"/>
        <v>0.59275698127237142</v>
      </c>
      <c r="AA50" s="7">
        <f t="shared" si="13"/>
        <v>1.19171661095825</v>
      </c>
      <c r="AB50">
        <f t="shared" si="14"/>
        <v>-6.6638070469642749E-2</v>
      </c>
    </row>
    <row r="51" spans="1:28" x14ac:dyDescent="0.25">
      <c r="A51" s="41">
        <v>39</v>
      </c>
      <c r="B51" s="42">
        <v>39604</v>
      </c>
      <c r="C51" s="43"/>
      <c r="D51" s="55">
        <v>480</v>
      </c>
      <c r="E51" s="56">
        <f t="shared" si="15"/>
        <v>20</v>
      </c>
      <c r="F51" s="72">
        <f>+'[1]Con 10hE'!E52</f>
        <v>2.168114035087719</v>
      </c>
      <c r="G51" s="47">
        <f t="shared" si="2"/>
        <v>43.362280701754379</v>
      </c>
      <c r="H51" s="47">
        <f>+F51/G91</f>
        <v>1.5044554957911729E-3</v>
      </c>
      <c r="I51" s="48">
        <f t="shared" si="0"/>
        <v>3.0089109915823458E-2</v>
      </c>
      <c r="J51" s="49">
        <f t="shared" si="1"/>
        <v>14.442772759595259</v>
      </c>
      <c r="K51" s="45">
        <f t="shared" si="17"/>
        <v>1.5044554957911729</v>
      </c>
      <c r="L51" s="50">
        <f t="shared" si="3"/>
        <v>0.78125</v>
      </c>
      <c r="M51" s="50">
        <f t="shared" si="4"/>
        <v>0.89480562735770497</v>
      </c>
      <c r="N51" s="51">
        <f t="shared" si="5"/>
        <v>0.66475200145687874</v>
      </c>
      <c r="O51" s="52">
        <f t="shared" si="6"/>
        <v>0.60739855595642778</v>
      </c>
      <c r="P51" s="51">
        <f t="shared" si="7"/>
        <v>0.84333593746789948</v>
      </c>
      <c r="Q51" s="50">
        <f t="shared" si="8"/>
        <v>1.1581224230936611</v>
      </c>
      <c r="R51" s="19">
        <f t="shared" si="19"/>
        <v>36.406970877192975</v>
      </c>
      <c r="S51" s="19">
        <f t="shared" si="9"/>
        <v>2.9125576701754379</v>
      </c>
      <c r="T51" s="12">
        <f t="shared" si="16"/>
        <v>42.332794028070175</v>
      </c>
      <c r="U51" s="53">
        <f t="shared" si="10"/>
        <v>630.25241228070183</v>
      </c>
      <c r="V51" s="19">
        <f t="shared" si="11"/>
        <v>43.733210208704406</v>
      </c>
      <c r="W51" s="19"/>
      <c r="X51" s="3"/>
      <c r="Z51" s="54">
        <f t="shared" si="12"/>
        <v>0.56266789791295602</v>
      </c>
      <c r="AA51" s="7">
        <f t="shared" si="13"/>
        <v>1.1477227088009609</v>
      </c>
      <c r="AB51">
        <f t="shared" si="14"/>
        <v>-0.11114876043007629</v>
      </c>
    </row>
    <row r="52" spans="1:28" x14ac:dyDescent="0.25">
      <c r="A52" s="41">
        <v>40</v>
      </c>
      <c r="B52" s="42">
        <v>39604</v>
      </c>
      <c r="C52" s="43"/>
      <c r="D52" s="55">
        <v>510</v>
      </c>
      <c r="E52" s="56">
        <f t="shared" si="15"/>
        <v>30</v>
      </c>
      <c r="F52" s="72">
        <f>+'[1]Con 10hE'!E53</f>
        <v>2.0913596491228073</v>
      </c>
      <c r="G52" s="47">
        <f t="shared" si="2"/>
        <v>62.740789473684217</v>
      </c>
      <c r="H52" s="47">
        <f>+F52/G91</f>
        <v>1.4511955860621551E-3</v>
      </c>
      <c r="I52" s="48">
        <f t="shared" si="0"/>
        <v>4.3535867581864653E-2</v>
      </c>
      <c r="J52" s="49">
        <f t="shared" si="1"/>
        <v>22.203292466750973</v>
      </c>
      <c r="K52" s="45">
        <f t="shared" si="17"/>
        <v>1.451195586062155</v>
      </c>
      <c r="L52" s="50">
        <f t="shared" si="3"/>
        <v>0.830078125</v>
      </c>
      <c r="M52" s="50">
        <f t="shared" si="4"/>
        <v>0.86312820846999883</v>
      </c>
      <c r="N52" s="51">
        <f t="shared" si="5"/>
        <v>0.68552345629972966</v>
      </c>
      <c r="O52" s="52">
        <f t="shared" si="6"/>
        <v>0.62274064155747166</v>
      </c>
      <c r="P52" s="51">
        <f t="shared" si="7"/>
        <v>0.86994553306396072</v>
      </c>
      <c r="Q52" s="50">
        <f t="shared" si="8"/>
        <v>1.1324870856391329</v>
      </c>
      <c r="R52" s="19">
        <f t="shared" si="19"/>
        <v>52.677166842105272</v>
      </c>
      <c r="S52" s="19">
        <f t="shared" si="9"/>
        <v>4.2141733473684218</v>
      </c>
      <c r="T52" s="12">
        <f t="shared" si="16"/>
        <v>46.546967375438598</v>
      </c>
      <c r="U52" s="53">
        <f t="shared" si="10"/>
        <v>692.99320175438606</v>
      </c>
      <c r="V52" s="19">
        <f t="shared" si="11"/>
        <v>48.086793124449983</v>
      </c>
      <c r="W52" s="19"/>
      <c r="Z52" s="54">
        <f t="shared" si="12"/>
        <v>0.51913206875550011</v>
      </c>
      <c r="AA52" s="7">
        <f t="shared" si="13"/>
        <v>1.0847582138948288</v>
      </c>
      <c r="AB52">
        <f t="shared" si="14"/>
        <v>-0.14719203755394852</v>
      </c>
    </row>
    <row r="53" spans="1:28" x14ac:dyDescent="0.25">
      <c r="A53" s="41">
        <v>41</v>
      </c>
      <c r="B53" s="42">
        <v>39604</v>
      </c>
      <c r="C53" s="43"/>
      <c r="D53" s="82">
        <v>540</v>
      </c>
      <c r="E53" s="56">
        <f t="shared" si="15"/>
        <v>30</v>
      </c>
      <c r="F53" s="72">
        <f>+'[1]Con 10hE'!E54</f>
        <v>1.8939912280701756</v>
      </c>
      <c r="G53" s="47">
        <f t="shared" si="2"/>
        <v>56.819736842105272</v>
      </c>
      <c r="H53" s="47">
        <f>+F53/G91</f>
        <v>1.3142415324732513E-3</v>
      </c>
      <c r="I53" s="48">
        <f t="shared" si="0"/>
        <v>3.9427245974197542E-2</v>
      </c>
      <c r="J53" s="49">
        <f t="shared" si="1"/>
        <v>21.290712826066674</v>
      </c>
      <c r="K53" s="45">
        <f t="shared" si="17"/>
        <v>1.3142415324732513</v>
      </c>
      <c r="L53" s="50">
        <f t="shared" si="3"/>
        <v>0.87890625</v>
      </c>
      <c r="M53" s="50">
        <f t="shared" si="4"/>
        <v>0.78167198847303987</v>
      </c>
      <c r="N53" s="51">
        <f t="shared" si="5"/>
        <v>0.70149976780137036</v>
      </c>
      <c r="O53" s="52">
        <f t="shared" si="6"/>
        <v>0.6344811015798264</v>
      </c>
      <c r="P53" s="51">
        <f t="shared" si="7"/>
        <v>0.88167828302342433</v>
      </c>
      <c r="Q53" s="50">
        <f t="shared" si="8"/>
        <v>1.0988476704441055</v>
      </c>
      <c r="R53" s="19">
        <f t="shared" si="19"/>
        <v>47.70585105263158</v>
      </c>
      <c r="S53" s="19">
        <f t="shared" si="9"/>
        <v>3.8164680842105265</v>
      </c>
      <c r="T53" s="12">
        <f t="shared" si="16"/>
        <v>50.363435459649125</v>
      </c>
      <c r="U53" s="53">
        <f t="shared" si="10"/>
        <v>749.81293859649134</v>
      </c>
      <c r="V53" s="19">
        <f t="shared" si="11"/>
        <v>52.029514242052514</v>
      </c>
      <c r="W53" s="77">
        <f>+(((50-V52)*(D53-D52))/(V53-V52))+D52</f>
        <v>524.55751105759202</v>
      </c>
      <c r="X53" s="66" t="s">
        <v>77</v>
      </c>
      <c r="Z53" s="54">
        <f t="shared" si="12"/>
        <v>0.4797048575794749</v>
      </c>
      <c r="AA53" s="7">
        <f t="shared" si="13"/>
        <v>1.0252479746101844</v>
      </c>
      <c r="AB53">
        <f t="shared" si="14"/>
        <v>-0.2463200785119688</v>
      </c>
    </row>
    <row r="54" spans="1:28" x14ac:dyDescent="0.25">
      <c r="A54" s="41">
        <v>42</v>
      </c>
      <c r="B54" s="42">
        <v>39604</v>
      </c>
      <c r="C54" s="43"/>
      <c r="D54" s="55">
        <v>570</v>
      </c>
      <c r="E54" s="56">
        <f t="shared" si="15"/>
        <v>30</v>
      </c>
      <c r="F54" s="72">
        <f>+'[1]Con 10hE'!E55</f>
        <v>2.0365350877192983</v>
      </c>
      <c r="G54" s="47">
        <f t="shared" si="2"/>
        <v>61.096052631578949</v>
      </c>
      <c r="H54" s="47">
        <f>+F54/G91</f>
        <v>1.4131527933985706E-3</v>
      </c>
      <c r="I54" s="48">
        <f t="shared" si="0"/>
        <v>4.2394583801957118E-2</v>
      </c>
      <c r="J54" s="49">
        <f t="shared" si="1"/>
        <v>24.164912767115556</v>
      </c>
      <c r="K54" s="45">
        <f t="shared" si="17"/>
        <v>1.4131527933985706</v>
      </c>
      <c r="L54" s="50">
        <f t="shared" si="3"/>
        <v>0.927734375</v>
      </c>
      <c r="M54" s="50">
        <f t="shared" si="4"/>
        <v>0.84050148069306574</v>
      </c>
      <c r="N54" s="51">
        <f t="shared" si="5"/>
        <v>0.71232024880620415</v>
      </c>
      <c r="O54" s="52">
        <f t="shared" si="6"/>
        <v>0.64240394382952759</v>
      </c>
      <c r="P54" s="51">
        <f t="shared" si="7"/>
        <v>0.88044827440345008</v>
      </c>
      <c r="Q54" s="50">
        <f t="shared" si="8"/>
        <v>1.0588447078544698</v>
      </c>
      <c r="R54" s="19">
        <f t="shared" si="19"/>
        <v>51.296245789473687</v>
      </c>
      <c r="S54" s="19">
        <f t="shared" si="9"/>
        <v>4.1036996631578946</v>
      </c>
      <c r="T54" s="12">
        <f t="shared" si="16"/>
        <v>54.467135122807022</v>
      </c>
      <c r="U54" s="53">
        <f t="shared" si="10"/>
        <v>810.90899122807025</v>
      </c>
      <c r="V54" s="19">
        <f t="shared" si="11"/>
        <v>56.268968880536121</v>
      </c>
      <c r="W54" s="19"/>
      <c r="Z54" s="54">
        <f t="shared" si="12"/>
        <v>0.43731031119463881</v>
      </c>
      <c r="AA54" s="7">
        <f t="shared" si="13"/>
        <v>0.96900248919820209</v>
      </c>
      <c r="AB54">
        <f t="shared" si="14"/>
        <v>-0.17375656445379811</v>
      </c>
    </row>
    <row r="55" spans="1:28" x14ac:dyDescent="0.25">
      <c r="A55" s="41">
        <v>43</v>
      </c>
      <c r="B55" s="42">
        <v>39604</v>
      </c>
      <c r="C55" s="43"/>
      <c r="D55" s="55">
        <v>600</v>
      </c>
      <c r="E55" s="56">
        <f t="shared" si="15"/>
        <v>30</v>
      </c>
      <c r="F55" s="72">
        <f>+'[1]Con 10hE'!E56</f>
        <v>2.0365350877192983</v>
      </c>
      <c r="G55" s="47">
        <f t="shared" si="2"/>
        <v>61.096052631578949</v>
      </c>
      <c r="H55" s="47">
        <f>+F55/G91</f>
        <v>1.4131527933985706E-3</v>
      </c>
      <c r="I55" s="48">
        <f t="shared" si="0"/>
        <v>4.2394583801957118E-2</v>
      </c>
      <c r="J55" s="49">
        <f t="shared" si="1"/>
        <v>25.43675028117427</v>
      </c>
      <c r="K55" s="45">
        <f t="shared" si="17"/>
        <v>1.4131527933985706</v>
      </c>
      <c r="L55" s="50">
        <f t="shared" si="3"/>
        <v>0.9765625</v>
      </c>
      <c r="M55" s="50">
        <f t="shared" si="4"/>
        <v>0.84050148069306574</v>
      </c>
      <c r="N55" s="51">
        <f t="shared" si="5"/>
        <v>0.71773742900976212</v>
      </c>
      <c r="O55" s="52">
        <f t="shared" si="6"/>
        <v>0.64636187567072767</v>
      </c>
      <c r="P55" s="51">
        <f t="shared" si="7"/>
        <v>0.86829764144397947</v>
      </c>
      <c r="Q55" s="50">
        <f t="shared" si="8"/>
        <v>1.0139731856817897</v>
      </c>
      <c r="R55" s="19">
        <f t="shared" si="19"/>
        <v>51.296245789473687</v>
      </c>
      <c r="S55" s="19">
        <f t="shared" si="9"/>
        <v>4.1036996631578946</v>
      </c>
      <c r="T55" s="12">
        <f t="shared" si="16"/>
        <v>58.570834785964919</v>
      </c>
      <c r="U55" s="53">
        <f t="shared" si="10"/>
        <v>872.00504385964916</v>
      </c>
      <c r="V55" s="19">
        <f t="shared" si="11"/>
        <v>60.508423519019736</v>
      </c>
      <c r="W55" s="19"/>
      <c r="Z55" s="54">
        <f t="shared" si="12"/>
        <v>0.39491576480980262</v>
      </c>
      <c r="AA55" s="7">
        <f t="shared" si="13"/>
        <v>0.91584265204651771</v>
      </c>
      <c r="AB55">
        <f t="shared" si="14"/>
        <v>-0.17375656445379811</v>
      </c>
    </row>
    <row r="56" spans="1:28" x14ac:dyDescent="0.25">
      <c r="A56" s="41">
        <v>44</v>
      </c>
      <c r="B56" s="42">
        <v>39604</v>
      </c>
      <c r="C56" s="43"/>
      <c r="D56" s="55">
        <v>630</v>
      </c>
      <c r="E56" s="56">
        <f t="shared" si="15"/>
        <v>30</v>
      </c>
      <c r="F56" s="72">
        <f>+'[1]Con 10hE'!E57</f>
        <v>1.8501315789473685</v>
      </c>
      <c r="G56" s="47">
        <f t="shared" si="2"/>
        <v>55.503947368421052</v>
      </c>
      <c r="H56" s="47">
        <f>+F56/G91</f>
        <v>1.2838072983423837E-3</v>
      </c>
      <c r="I56" s="48">
        <f t="shared" si="0"/>
        <v>3.851421895027151E-2</v>
      </c>
      <c r="J56" s="49">
        <f t="shared" si="1"/>
        <v>24.263957938671052</v>
      </c>
      <c r="K56" s="45">
        <f t="shared" si="17"/>
        <v>1.2838072983423836</v>
      </c>
      <c r="L56" s="50">
        <f t="shared" si="3"/>
        <v>1.025390625</v>
      </c>
      <c r="M56" s="50">
        <f t="shared" si="4"/>
        <v>0.76357060625149342</v>
      </c>
      <c r="N56" s="51">
        <f t="shared" si="5"/>
        <v>0.71762646356907456</v>
      </c>
      <c r="O56" s="52">
        <f t="shared" si="6"/>
        <v>0.64628085830912985</v>
      </c>
      <c r="P56" s="51">
        <f t="shared" si="7"/>
        <v>0.8472416090628152</v>
      </c>
      <c r="Q56" s="50">
        <f t="shared" si="8"/>
        <v>0.96556992021654764</v>
      </c>
      <c r="R56" s="19">
        <f t="shared" si="19"/>
        <v>46.601114210526319</v>
      </c>
      <c r="S56" s="19">
        <f t="shared" si="9"/>
        <v>3.7280891368421054</v>
      </c>
      <c r="T56" s="12">
        <f t="shared" si="16"/>
        <v>62.298923922807028</v>
      </c>
      <c r="U56" s="53">
        <f t="shared" si="10"/>
        <v>927.50899122807027</v>
      </c>
      <c r="V56" s="19">
        <f t="shared" si="11"/>
        <v>64.359842014812699</v>
      </c>
      <c r="W56" s="19"/>
      <c r="Z56" s="54">
        <f t="shared" si="12"/>
        <v>0.35640157985187304</v>
      </c>
      <c r="AA56" s="7">
        <f t="shared" si="13"/>
        <v>0.86559918334331043</v>
      </c>
      <c r="AB56">
        <f t="shared" si="14"/>
        <v>-0.26974968151799522</v>
      </c>
    </row>
    <row r="57" spans="1:28" x14ac:dyDescent="0.25">
      <c r="A57" s="41">
        <v>45</v>
      </c>
      <c r="B57" s="42">
        <v>39604</v>
      </c>
      <c r="C57" s="43"/>
      <c r="D57" s="55">
        <v>660</v>
      </c>
      <c r="E57" s="56">
        <f t="shared" si="15"/>
        <v>30</v>
      </c>
      <c r="F57" s="72">
        <f>+'[1]Con 10hE'!E58</f>
        <v>1.652763157894737</v>
      </c>
      <c r="G57" s="47">
        <f t="shared" si="2"/>
        <v>49.582894736842114</v>
      </c>
      <c r="H57" s="47">
        <f>+F57/G91</f>
        <v>1.14685324475348E-3</v>
      </c>
      <c r="I57" s="48">
        <f t="shared" si="0"/>
        <v>3.4405597342604399E-2</v>
      </c>
      <c r="J57" s="49">
        <f t="shared" si="1"/>
        <v>22.707694246118905</v>
      </c>
      <c r="K57" s="45">
        <f t="shared" si="17"/>
        <v>1.1468532447534801</v>
      </c>
      <c r="L57" s="50">
        <f t="shared" si="3"/>
        <v>1.07421875</v>
      </c>
      <c r="M57" s="50">
        <f t="shared" si="4"/>
        <v>0.68211438625453447</v>
      </c>
      <c r="N57" s="51">
        <f t="shared" si="5"/>
        <v>0.71198991612173579</v>
      </c>
      <c r="O57" s="52">
        <f t="shared" si="6"/>
        <v>0.64216241032691679</v>
      </c>
      <c r="P57" s="51">
        <f t="shared" si="7"/>
        <v>0.81917025644024133</v>
      </c>
      <c r="Q57" s="50">
        <f t="shared" si="8"/>
        <v>0.91480991831025038</v>
      </c>
      <c r="R57" s="19">
        <f t="shared" si="19"/>
        <v>41.629798421052641</v>
      </c>
      <c r="S57" s="19">
        <f t="shared" si="9"/>
        <v>3.3303838736842111</v>
      </c>
      <c r="T57" s="12">
        <f t="shared" si="16"/>
        <v>65.629307796491233</v>
      </c>
      <c r="U57" s="53">
        <f t="shared" si="10"/>
        <v>977.09188596491242</v>
      </c>
      <c r="V57" s="19">
        <f t="shared" si="11"/>
        <v>67.800398712462609</v>
      </c>
      <c r="W57" s="19"/>
      <c r="Z57" s="54">
        <f t="shared" si="12"/>
        <v>0.32199601287537394</v>
      </c>
      <c r="AA57" s="7">
        <f t="shared" si="13"/>
        <v>0.81811209003023067</v>
      </c>
      <c r="AB57">
        <f t="shared" si="14"/>
        <v>-0.38255791342155798</v>
      </c>
    </row>
    <row r="58" spans="1:28" x14ac:dyDescent="0.25">
      <c r="A58" s="41">
        <v>46</v>
      </c>
      <c r="B58" s="42">
        <v>39604</v>
      </c>
      <c r="C58" s="43"/>
      <c r="D58" s="55">
        <v>690</v>
      </c>
      <c r="E58" s="56">
        <f t="shared" si="15"/>
        <v>30</v>
      </c>
      <c r="F58" s="72">
        <f>+'[1]Con 10hE'!E59</f>
        <v>1.4225000000000003</v>
      </c>
      <c r="G58" s="47">
        <f t="shared" si="2"/>
        <v>42.675000000000011</v>
      </c>
      <c r="H58" s="47">
        <f>+F58/G91</f>
        <v>9.8707351556642569E-4</v>
      </c>
      <c r="I58" s="48">
        <f t="shared" si="0"/>
        <v>2.961220546699277E-2</v>
      </c>
      <c r="J58" s="49">
        <f t="shared" si="1"/>
        <v>20.432421772225013</v>
      </c>
      <c r="K58" s="45">
        <f t="shared" si="17"/>
        <v>0.98707351556642564</v>
      </c>
      <c r="L58" s="50">
        <f t="shared" si="3"/>
        <v>1.123046875</v>
      </c>
      <c r="M58" s="50">
        <f t="shared" si="4"/>
        <v>0.5870821295914157</v>
      </c>
      <c r="N58" s="51">
        <f t="shared" si="5"/>
        <v>0.70095766032631945</v>
      </c>
      <c r="O58" s="52">
        <f t="shared" si="6"/>
        <v>0.63408356034127111</v>
      </c>
      <c r="P58" s="51">
        <f t="shared" si="7"/>
        <v>0.78579241062967442</v>
      </c>
      <c r="Q58" s="50">
        <f t="shared" si="8"/>
        <v>0.86270921489561458</v>
      </c>
      <c r="R58" s="19">
        <f t="shared" si="19"/>
        <v>35.829930000000004</v>
      </c>
      <c r="S58" s="19">
        <f t="shared" si="9"/>
        <v>2.8663944000000003</v>
      </c>
      <c r="T58" s="12">
        <f t="shared" si="16"/>
        <v>68.495702196491237</v>
      </c>
      <c r="U58" s="53">
        <f t="shared" si="10"/>
        <v>1019.7668859649125</v>
      </c>
      <c r="V58" s="19">
        <f t="shared" si="11"/>
        <v>70.761616645612293</v>
      </c>
      <c r="Z58" s="54">
        <f t="shared" si="12"/>
        <v>0.29238383354387709</v>
      </c>
      <c r="AA58" s="7">
        <f t="shared" si="13"/>
        <v>0.77323015632764802</v>
      </c>
      <c r="AB58">
        <f t="shared" si="14"/>
        <v>-0.53259055481603956</v>
      </c>
    </row>
    <row r="59" spans="1:28" x14ac:dyDescent="0.25">
      <c r="A59" s="41">
        <v>47</v>
      </c>
      <c r="B59" s="42">
        <v>39604</v>
      </c>
      <c r="C59" s="43"/>
      <c r="D59" s="55">
        <v>720</v>
      </c>
      <c r="E59" s="56">
        <f t="shared" si="15"/>
        <v>30</v>
      </c>
      <c r="F59" s="67">
        <f>+'[1]Con 10hE'!E60</f>
        <v>1.1922368421052632</v>
      </c>
      <c r="G59" s="47">
        <f t="shared" si="2"/>
        <v>35.767105263157895</v>
      </c>
      <c r="H59" s="47">
        <f>+F59/G91</f>
        <v>8.2729378637937123E-4</v>
      </c>
      <c r="I59" s="48">
        <f t="shared" si="0"/>
        <v>2.4818813591381137E-2</v>
      </c>
      <c r="J59" s="49">
        <f t="shared" si="1"/>
        <v>17.869545785794418</v>
      </c>
      <c r="K59" s="45">
        <f t="shared" si="17"/>
        <v>0.82729378637937123</v>
      </c>
      <c r="L59" s="50">
        <f t="shared" si="3"/>
        <v>1.171875</v>
      </c>
      <c r="M59" s="50">
        <f t="shared" si="4"/>
        <v>0.49204987292829677</v>
      </c>
      <c r="N59" s="51">
        <f t="shared" si="5"/>
        <v>0.6847819052046159</v>
      </c>
      <c r="O59" s="52">
        <f t="shared" si="6"/>
        <v>0.6221944508483952</v>
      </c>
      <c r="P59" s="51">
        <f t="shared" si="7"/>
        <v>0.74860943363411114</v>
      </c>
      <c r="Q59" s="50">
        <f t="shared" si="8"/>
        <v>0.81013219845260009</v>
      </c>
      <c r="R59" s="19">
        <f t="shared" si="19"/>
        <v>30.030061578947372</v>
      </c>
      <c r="S59" s="19">
        <f t="shared" si="9"/>
        <v>2.4024049263157896</v>
      </c>
      <c r="T59" s="12">
        <f t="shared" si="16"/>
        <v>70.898107122807033</v>
      </c>
      <c r="U59" s="53">
        <f t="shared" si="10"/>
        <v>1055.5339912280704</v>
      </c>
      <c r="V59" s="19">
        <f t="shared" si="11"/>
        <v>73.243495814261749</v>
      </c>
      <c r="W59" s="73">
        <f>+((([1]Resumen!N6-F58)*(D59-D58))/(F59-F58))+D58</f>
        <v>714.80857142857144</v>
      </c>
      <c r="X59" s="74" t="s">
        <v>78</v>
      </c>
      <c r="Z59" s="54">
        <f t="shared" si="12"/>
        <v>0.2675650418573825</v>
      </c>
      <c r="AA59" s="7">
        <f t="shared" si="13"/>
        <v>0.730810462209874</v>
      </c>
      <c r="AB59">
        <f t="shared" si="14"/>
        <v>-0.7091751998867506</v>
      </c>
    </row>
    <row r="60" spans="1:28" x14ac:dyDescent="0.25">
      <c r="A60" s="41">
        <v>48</v>
      </c>
      <c r="B60" s="42">
        <v>39604</v>
      </c>
      <c r="C60" s="43"/>
      <c r="D60" s="55">
        <v>750</v>
      </c>
      <c r="E60" s="56">
        <f t="shared" si="15"/>
        <v>30</v>
      </c>
      <c r="F60" s="67">
        <f>+'[1]Con 10hE'!E61</f>
        <v>1.1154824561403509</v>
      </c>
      <c r="G60" s="47">
        <f t="shared" si="2"/>
        <v>33.464473684210525</v>
      </c>
      <c r="H60" s="47">
        <f>+F60/G91</f>
        <v>7.7403387665035315E-4</v>
      </c>
      <c r="I60" s="48">
        <f t="shared" si="0"/>
        <v>2.3221016299510594E-2</v>
      </c>
      <c r="J60" s="49">
        <f t="shared" si="1"/>
        <v>17.415762224632946</v>
      </c>
      <c r="K60" s="45">
        <f t="shared" si="17"/>
        <v>0.77403387665035317</v>
      </c>
      <c r="L60" s="50">
        <f t="shared" si="3"/>
        <v>1.220703125</v>
      </c>
      <c r="M60" s="50">
        <f t="shared" si="4"/>
        <v>0.46037245404059052</v>
      </c>
      <c r="N60" s="51">
        <f t="shared" si="5"/>
        <v>0.66382761037080595</v>
      </c>
      <c r="O60" s="52">
        <f t="shared" si="6"/>
        <v>0.60671369738952508</v>
      </c>
      <c r="P60" s="51">
        <f t="shared" si="7"/>
        <v>0.70890928422354016</v>
      </c>
      <c r="Q60" s="50">
        <f t="shared" si="8"/>
        <v>0.75780187634145002</v>
      </c>
      <c r="R60" s="19">
        <f t="shared" si="19"/>
        <v>28.09677210526316</v>
      </c>
      <c r="S60" s="19">
        <f t="shared" si="9"/>
        <v>2.247741768421053</v>
      </c>
      <c r="T60" s="12">
        <f t="shared" si="16"/>
        <v>73.145848891228084</v>
      </c>
      <c r="U60" s="53">
        <f t="shared" si="10"/>
        <v>1088.998464912281</v>
      </c>
      <c r="V60" s="19">
        <f t="shared" si="11"/>
        <v>75.565595394744463</v>
      </c>
      <c r="Z60" s="54">
        <f t="shared" si="12"/>
        <v>0.24434404605255533</v>
      </c>
      <c r="AA60" s="7">
        <f t="shared" si="13"/>
        <v>0.69071792829701439</v>
      </c>
      <c r="AB60">
        <f t="shared" si="14"/>
        <v>-0.77571943441826385</v>
      </c>
    </row>
    <row r="61" spans="1:28" x14ac:dyDescent="0.25">
      <c r="A61" s="41">
        <v>49</v>
      </c>
      <c r="B61" s="42">
        <v>39604</v>
      </c>
      <c r="C61" s="43"/>
      <c r="D61" s="55">
        <v>780</v>
      </c>
      <c r="E61" s="56">
        <f t="shared" si="15"/>
        <v>30</v>
      </c>
      <c r="F61" s="67">
        <f>+'[1]Con 10hE'!E62</f>
        <v>1.0167982456140352</v>
      </c>
      <c r="G61" s="47">
        <f t="shared" si="2"/>
        <v>30.503947368421056</v>
      </c>
      <c r="H61" s="47">
        <f>+F61/G91</f>
        <v>7.0555684985590123E-4</v>
      </c>
      <c r="I61" s="48">
        <f t="shared" si="0"/>
        <v>2.1166705495677039E-2</v>
      </c>
      <c r="J61" s="49">
        <f t="shared" si="1"/>
        <v>16.510030286628091</v>
      </c>
      <c r="K61" s="45">
        <f t="shared" si="17"/>
        <v>0.70555684985590128</v>
      </c>
      <c r="L61" s="50">
        <f t="shared" si="3"/>
        <v>1.26953125</v>
      </c>
      <c r="M61" s="50">
        <f t="shared" si="4"/>
        <v>0.41964434404211109</v>
      </c>
      <c r="N61" s="51">
        <f t="shared" si="5"/>
        <v>0.63855879978528152</v>
      </c>
      <c r="O61" s="52">
        <f t="shared" si="6"/>
        <v>0.58792170344326844</v>
      </c>
      <c r="P61" s="51">
        <f t="shared" si="7"/>
        <v>0.66777362643342286</v>
      </c>
      <c r="Q61" s="50">
        <f t="shared" si="8"/>
        <v>0.70631189282725482</v>
      </c>
      <c r="R61" s="19">
        <f t="shared" si="19"/>
        <v>25.611114210526321</v>
      </c>
      <c r="S61" s="19">
        <f t="shared" si="9"/>
        <v>2.0488891368421056</v>
      </c>
      <c r="T61" s="12">
        <f t="shared" si="16"/>
        <v>75.194738028070191</v>
      </c>
      <c r="U61" s="53">
        <f t="shared" si="10"/>
        <v>1119.5024122807019</v>
      </c>
      <c r="V61" s="19">
        <f t="shared" si="11"/>
        <v>77.682264076155647</v>
      </c>
      <c r="W61" s="19"/>
      <c r="Z61" s="54">
        <f t="shared" si="12"/>
        <v>0.22317735923844351</v>
      </c>
      <c r="AA61" s="7">
        <f t="shared" si="13"/>
        <v>0.65282488571422315</v>
      </c>
      <c r="AB61">
        <f t="shared" si="14"/>
        <v>-0.86834772634202728</v>
      </c>
    </row>
    <row r="62" spans="1:28" x14ac:dyDescent="0.25">
      <c r="A62" s="41">
        <v>50</v>
      </c>
      <c r="B62" s="42">
        <v>39604</v>
      </c>
      <c r="C62" s="43"/>
      <c r="D62" s="55">
        <v>810</v>
      </c>
      <c r="E62" s="56">
        <f t="shared" si="15"/>
        <v>30</v>
      </c>
      <c r="F62" s="67">
        <f>+'[1]Con 10hE'!E63</f>
        <v>0.88521929824561396</v>
      </c>
      <c r="G62" s="47">
        <f t="shared" si="2"/>
        <v>26.556578947368418</v>
      </c>
      <c r="H62" s="47">
        <f>+F62/G91</f>
        <v>6.1425414746329868E-4</v>
      </c>
      <c r="I62" s="48">
        <f t="shared" si="0"/>
        <v>1.8427624423898961E-2</v>
      </c>
      <c r="J62" s="49">
        <f t="shared" si="1"/>
        <v>14.926375783358159</v>
      </c>
      <c r="K62" s="45">
        <f t="shared" si="17"/>
        <v>0.61425414746329865</v>
      </c>
      <c r="L62" s="50">
        <f t="shared" si="3"/>
        <v>1.318359375</v>
      </c>
      <c r="M62" s="50">
        <f t="shared" si="4"/>
        <v>0.3653401973774717</v>
      </c>
      <c r="N62" s="51">
        <f t="shared" si="5"/>
        <v>0.60952149060884253</v>
      </c>
      <c r="O62" s="52">
        <f t="shared" si="6"/>
        <v>0.56615221661307602</v>
      </c>
      <c r="P62" s="51">
        <f t="shared" si="7"/>
        <v>0.62609274391391567</v>
      </c>
      <c r="Q62" s="50">
        <f t="shared" si="8"/>
        <v>0.65613940560339012</v>
      </c>
      <c r="R62" s="19">
        <f t="shared" si="19"/>
        <v>22.296903684210527</v>
      </c>
      <c r="S62" s="19">
        <f t="shared" si="9"/>
        <v>1.783752294736842</v>
      </c>
      <c r="T62" s="12">
        <f t="shared" si="16"/>
        <v>76.978490322807033</v>
      </c>
      <c r="U62" s="53">
        <f t="shared" si="10"/>
        <v>1146.0589912280705</v>
      </c>
      <c r="V62" s="19">
        <f t="shared" si="11"/>
        <v>79.525024892138134</v>
      </c>
      <c r="W62" s="19"/>
      <c r="Z62" s="54">
        <f t="shared" si="12"/>
        <v>0.2047497510786187</v>
      </c>
      <c r="AA62" s="7">
        <f t="shared" si="13"/>
        <v>0.61701066954863715</v>
      </c>
      <c r="AB62">
        <f t="shared" si="14"/>
        <v>-1.0069263118768019</v>
      </c>
    </row>
    <row r="63" spans="1:28" x14ac:dyDescent="0.25">
      <c r="A63" s="41">
        <v>51</v>
      </c>
      <c r="B63" s="42">
        <v>39604</v>
      </c>
      <c r="C63" s="43"/>
      <c r="D63" s="55">
        <v>840</v>
      </c>
      <c r="E63" s="56">
        <f t="shared" si="15"/>
        <v>30</v>
      </c>
      <c r="F63" s="67">
        <f>+'[1]Con 10hE'!E64</f>
        <v>0.84135964912280703</v>
      </c>
      <c r="G63" s="47">
        <f t="shared" si="2"/>
        <v>25.24078947368421</v>
      </c>
      <c r="H63" s="47">
        <f>+F63/G91</f>
        <v>5.8381991333243124E-4</v>
      </c>
      <c r="I63" s="48">
        <f t="shared" si="0"/>
        <v>1.7514597399972937E-2</v>
      </c>
      <c r="J63" s="49">
        <f t="shared" si="1"/>
        <v>14.712261815977266</v>
      </c>
      <c r="K63" s="45">
        <f t="shared" si="17"/>
        <v>0.58381991333243122</v>
      </c>
      <c r="L63" s="50">
        <f t="shared" si="3"/>
        <v>1.3671875</v>
      </c>
      <c r="M63" s="50">
        <f t="shared" si="4"/>
        <v>0.34723881515592531</v>
      </c>
      <c r="N63" s="51">
        <f t="shared" si="5"/>
        <v>0.57732411356559776</v>
      </c>
      <c r="O63" s="52">
        <f t="shared" si="6"/>
        <v>0.54178248119348427</v>
      </c>
      <c r="P63" s="51">
        <f t="shared" si="7"/>
        <v>0.58458458108832845</v>
      </c>
      <c r="Q63" s="50">
        <f t="shared" si="8"/>
        <v>0.60765816183803845</v>
      </c>
      <c r="R63" s="19">
        <f t="shared" si="19"/>
        <v>21.192166842105262</v>
      </c>
      <c r="S63" s="19">
        <f t="shared" si="9"/>
        <v>1.6953733473684209</v>
      </c>
      <c r="T63" s="12">
        <f t="shared" si="16"/>
        <v>78.67386367017545</v>
      </c>
      <c r="U63" s="53">
        <f t="shared" si="10"/>
        <v>1171.2997807017546</v>
      </c>
      <c r="V63" s="19">
        <f t="shared" si="11"/>
        <v>81.27648308631106</v>
      </c>
      <c r="W63" s="19"/>
      <c r="Z63" s="54">
        <f t="shared" si="12"/>
        <v>0.18723516913688942</v>
      </c>
      <c r="AA63" s="7">
        <f t="shared" si="13"/>
        <v>0.5831612346094166</v>
      </c>
      <c r="AB63">
        <f t="shared" si="14"/>
        <v>-1.0577425076405831</v>
      </c>
    </row>
    <row r="64" spans="1:28" x14ac:dyDescent="0.25">
      <c r="A64" s="41">
        <v>52</v>
      </c>
      <c r="B64" s="42">
        <v>39604</v>
      </c>
      <c r="C64" s="43"/>
      <c r="D64" s="55">
        <v>900</v>
      </c>
      <c r="E64" s="56">
        <f t="shared" si="15"/>
        <v>60</v>
      </c>
      <c r="F64" s="67">
        <f>+'[1]Con 10hE'!E65</f>
        <v>0.6768859649122807</v>
      </c>
      <c r="G64" s="47">
        <f t="shared" si="2"/>
        <v>40.613157894736844</v>
      </c>
      <c r="H64" s="47">
        <f>+F64/G91</f>
        <v>4.696915353416781E-4</v>
      </c>
      <c r="I64" s="48">
        <f t="shared" si="0"/>
        <v>2.8181492120500685E-2</v>
      </c>
      <c r="J64" s="49">
        <f t="shared" si="1"/>
        <v>25.363342908450615</v>
      </c>
      <c r="K64" s="45">
        <f t="shared" si="17"/>
        <v>0.46969153534167812</v>
      </c>
      <c r="L64" s="50">
        <f t="shared" si="3"/>
        <v>1.46484375</v>
      </c>
      <c r="M64" s="50">
        <f t="shared" si="4"/>
        <v>0.27935863182512616</v>
      </c>
      <c r="N64" s="51">
        <f t="shared" si="5"/>
        <v>0.50606777755676358</v>
      </c>
      <c r="O64" s="52">
        <f t="shared" si="6"/>
        <v>0.48690308782958586</v>
      </c>
      <c r="P64" s="51">
        <f t="shared" si="7"/>
        <v>0.50422051530970047</v>
      </c>
      <c r="Q64" s="50">
        <f t="shared" si="8"/>
        <v>0.51682356245862071</v>
      </c>
      <c r="R64" s="19">
        <f t="shared" si="19"/>
        <v>34.098807368421056</v>
      </c>
      <c r="S64" s="19">
        <f t="shared" si="9"/>
        <v>2.7279045894736846</v>
      </c>
      <c r="T64" s="12">
        <f t="shared" si="16"/>
        <v>81.401768259649131</v>
      </c>
      <c r="U64" s="53">
        <f t="shared" si="10"/>
        <v>1211.9129385964914</v>
      </c>
      <c r="V64" s="19">
        <f t="shared" si="11"/>
        <v>84.094629811085142</v>
      </c>
      <c r="W64" s="19"/>
      <c r="Z64" s="54">
        <f t="shared" si="12"/>
        <v>0.15905370188914858</v>
      </c>
      <c r="AA64" s="7">
        <f t="shared" si="13"/>
        <v>0.52093146721745709</v>
      </c>
      <c r="AB64">
        <f t="shared" si="14"/>
        <v>-1.2752589038760893</v>
      </c>
    </row>
    <row r="65" spans="1:28" x14ac:dyDescent="0.25">
      <c r="A65" s="41">
        <v>53</v>
      </c>
      <c r="B65" s="42">
        <v>39604</v>
      </c>
      <c r="C65" s="43"/>
      <c r="D65" s="55">
        <v>960</v>
      </c>
      <c r="E65" s="56">
        <f t="shared" si="15"/>
        <v>60</v>
      </c>
      <c r="F65" s="67">
        <f>+'[1]Con 10hE'!E66</f>
        <v>0.58916666666666662</v>
      </c>
      <c r="G65" s="47">
        <f t="shared" si="2"/>
        <v>35.349999999999994</v>
      </c>
      <c r="H65" s="47">
        <f>+F65/G91</f>
        <v>4.0882306707994305E-4</v>
      </c>
      <c r="I65" s="48">
        <f t="shared" si="0"/>
        <v>2.4529384024796583E-2</v>
      </c>
      <c r="J65" s="49">
        <f t="shared" si="1"/>
        <v>23.548208663804719</v>
      </c>
      <c r="K65" s="45">
        <f t="shared" si="17"/>
        <v>0.40882306707994304</v>
      </c>
      <c r="L65" s="50">
        <f t="shared" si="3"/>
        <v>1.5625</v>
      </c>
      <c r="M65" s="50">
        <f t="shared" si="4"/>
        <v>0.24315586738203326</v>
      </c>
      <c r="N65" s="51">
        <f t="shared" si="5"/>
        <v>0.43009843179877755</v>
      </c>
      <c r="O65" s="52">
        <f t="shared" si="6"/>
        <v>0.42674869878656152</v>
      </c>
      <c r="P65" s="51">
        <f t="shared" si="7"/>
        <v>0.42975598856911473</v>
      </c>
      <c r="Q65" s="50">
        <f t="shared" si="8"/>
        <v>0.4351998198660183</v>
      </c>
      <c r="R65" s="19">
        <f t="shared" si="19"/>
        <v>29.679859999999998</v>
      </c>
      <c r="S65" s="19">
        <f t="shared" si="9"/>
        <v>2.3743887999999997</v>
      </c>
      <c r="T65" s="12">
        <f t="shared" si="16"/>
        <v>83.776157059649137</v>
      </c>
      <c r="U65" s="53">
        <f t="shared" si="10"/>
        <v>1247.2629385964913</v>
      </c>
      <c r="V65" s="19">
        <f t="shared" si="11"/>
        <v>86.547566048620965</v>
      </c>
      <c r="W65" s="19"/>
      <c r="Z65" s="54">
        <f t="shared" si="12"/>
        <v>0.13452433951379039</v>
      </c>
      <c r="AA65" s="7">
        <f t="shared" si="13"/>
        <v>0.46534230575029156</v>
      </c>
      <c r="AB65">
        <f t="shared" si="14"/>
        <v>-1.4140526117139076</v>
      </c>
    </row>
    <row r="66" spans="1:28" x14ac:dyDescent="0.25">
      <c r="A66" s="41">
        <v>54</v>
      </c>
      <c r="B66" s="42">
        <v>39604</v>
      </c>
      <c r="C66" s="43"/>
      <c r="D66" s="55">
        <v>1020</v>
      </c>
      <c r="E66" s="56">
        <f t="shared" si="15"/>
        <v>60</v>
      </c>
      <c r="F66" s="67">
        <f>+'[1]Con 10hE'!E67</f>
        <v>0.44662280701754381</v>
      </c>
      <c r="G66" s="47">
        <f t="shared" si="2"/>
        <v>26.797368421052628</v>
      </c>
      <c r="H66" s="47">
        <f>+F66/G91</f>
        <v>3.099118061546237E-4</v>
      </c>
      <c r="I66" s="48">
        <f t="shared" si="0"/>
        <v>1.8594708369277423E-2</v>
      </c>
      <c r="J66" s="49">
        <f t="shared" si="1"/>
        <v>18.966602536662972</v>
      </c>
      <c r="K66" s="45">
        <f t="shared" si="17"/>
        <v>0.30991180615462371</v>
      </c>
      <c r="L66" s="50">
        <f t="shared" si="3"/>
        <v>1.66015625</v>
      </c>
      <c r="M66" s="50">
        <f t="shared" si="4"/>
        <v>0.18432637516200734</v>
      </c>
      <c r="N66" s="51">
        <f t="shared" si="5"/>
        <v>0.35440285959485557</v>
      </c>
      <c r="O66" s="52">
        <f t="shared" si="6"/>
        <v>0.36476569551635196</v>
      </c>
      <c r="P66" s="51">
        <f t="shared" si="7"/>
        <v>0.3627585223446359</v>
      </c>
      <c r="Q66" s="50">
        <f t="shared" si="8"/>
        <v>0.36326595729868721</v>
      </c>
      <c r="R66" s="19">
        <f t="shared" si="19"/>
        <v>22.499070526315787</v>
      </c>
      <c r="S66" s="19">
        <f t="shared" si="9"/>
        <v>1.7999256421052627</v>
      </c>
      <c r="T66" s="12">
        <f t="shared" si="16"/>
        <v>85.576082701754402</v>
      </c>
      <c r="U66" s="53">
        <f t="shared" si="10"/>
        <v>1274.0603070175439</v>
      </c>
      <c r="V66" s="19">
        <f t="shared" si="11"/>
        <v>88.407035244394592</v>
      </c>
      <c r="W66" s="19"/>
      <c r="Z66" s="54">
        <f t="shared" si="12"/>
        <v>0.11592964755605406</v>
      </c>
      <c r="AA66" s="7">
        <f t="shared" si="13"/>
        <v>0.41568512395240681</v>
      </c>
      <c r="AB66">
        <f t="shared" si="14"/>
        <v>-1.6910473146052556</v>
      </c>
    </row>
    <row r="67" spans="1:28" x14ac:dyDescent="0.25">
      <c r="A67" s="41">
        <v>55</v>
      </c>
      <c r="B67" s="42">
        <v>39604</v>
      </c>
      <c r="C67" s="43"/>
      <c r="D67" s="55">
        <v>1080</v>
      </c>
      <c r="E67" s="56">
        <f t="shared" si="15"/>
        <v>60</v>
      </c>
      <c r="F67" s="67">
        <f>+'[1]Con 10hE'!E68</f>
        <v>0.4137280701754385</v>
      </c>
      <c r="G67" s="47">
        <f t="shared" si="2"/>
        <v>24.823684210526309</v>
      </c>
      <c r="H67" s="47">
        <f>+F67/G91</f>
        <v>2.8708613055647306E-4</v>
      </c>
      <c r="I67" s="48">
        <f t="shared" si="0"/>
        <v>1.7225167833388382E-2</v>
      </c>
      <c r="J67" s="49">
        <f t="shared" si="1"/>
        <v>18.603181260059454</v>
      </c>
      <c r="K67" s="45">
        <f t="shared" si="17"/>
        <v>0.28708613055647308</v>
      </c>
      <c r="L67" s="50">
        <f t="shared" si="3"/>
        <v>1.7578125</v>
      </c>
      <c r="M67" s="50">
        <f t="shared" si="4"/>
        <v>0.1707503384958475</v>
      </c>
      <c r="N67" s="51">
        <f t="shared" si="5"/>
        <v>0.28313708784510666</v>
      </c>
      <c r="O67" s="52">
        <f t="shared" si="6"/>
        <v>0.30406601104775494</v>
      </c>
      <c r="P67" s="51">
        <f t="shared" si="7"/>
        <v>0.30377565293105657</v>
      </c>
      <c r="Q67" s="50">
        <f t="shared" si="8"/>
        <v>0.3008750256672027</v>
      </c>
      <c r="R67" s="19">
        <f t="shared" si="19"/>
        <v>20.841965263157888</v>
      </c>
      <c r="S67" s="19">
        <f t="shared" si="9"/>
        <v>1.6673572210526308</v>
      </c>
      <c r="T67" s="12">
        <f t="shared" si="16"/>
        <v>87.243439922807028</v>
      </c>
      <c r="U67" s="53">
        <f t="shared" si="10"/>
        <v>1298.8839912280703</v>
      </c>
      <c r="V67" s="19">
        <f t="shared" si="11"/>
        <v>90.129550507453885</v>
      </c>
      <c r="W67" s="77">
        <f>+(((90-V66)*(D67-D66))/(V67-V66))+D66</f>
        <v>1075.4873953143222</v>
      </c>
      <c r="X67" s="66" t="s">
        <v>79</v>
      </c>
      <c r="Z67" s="54">
        <f t="shared" si="12"/>
        <v>9.8704494925461184E-2</v>
      </c>
      <c r="AA67" s="7">
        <f t="shared" si="13"/>
        <v>0.37132691384404509</v>
      </c>
      <c r="AB67">
        <f t="shared" si="14"/>
        <v>-1.7675527981270678</v>
      </c>
    </row>
    <row r="68" spans="1:28" x14ac:dyDescent="0.25">
      <c r="A68" s="41">
        <v>56</v>
      </c>
      <c r="B68" s="42">
        <v>39604</v>
      </c>
      <c r="C68" s="43"/>
      <c r="D68" s="55">
        <v>1140</v>
      </c>
      <c r="E68" s="56">
        <f t="shared" si="15"/>
        <v>60</v>
      </c>
      <c r="F68" s="67">
        <f>+'[1]Con 10hE'!E69</f>
        <v>0.34793859649122799</v>
      </c>
      <c r="G68" s="47">
        <f t="shared" si="2"/>
        <v>20.876315789473679</v>
      </c>
      <c r="H68" s="47">
        <f>+F68/G91</f>
        <v>2.4143477936017181E-4</v>
      </c>
      <c r="I68" s="48">
        <f t="shared" si="0"/>
        <v>1.4486086761610308E-2</v>
      </c>
      <c r="J68" s="49">
        <f t="shared" si="1"/>
        <v>16.514138908235751</v>
      </c>
      <c r="K68" s="45">
        <f t="shared" si="17"/>
        <v>0.2414347793601718</v>
      </c>
      <c r="L68" s="50">
        <f t="shared" si="3"/>
        <v>1.85546875</v>
      </c>
      <c r="M68" s="50">
        <f t="shared" si="4"/>
        <v>0.14359826516352786</v>
      </c>
      <c r="N68" s="51">
        <f t="shared" si="5"/>
        <v>0.21931406739142839</v>
      </c>
      <c r="O68" s="52">
        <f t="shared" si="6"/>
        <v>0.24719169253481757</v>
      </c>
      <c r="P68" s="51">
        <f t="shared" si="7"/>
        <v>0.25270377793895088</v>
      </c>
      <c r="Q68" s="50">
        <f t="shared" si="8"/>
        <v>0.24747887026765075</v>
      </c>
      <c r="R68" s="19">
        <f t="shared" si="19"/>
        <v>17.527754736842102</v>
      </c>
      <c r="S68" s="19">
        <f t="shared" si="9"/>
        <v>1.4022203789473682</v>
      </c>
      <c r="T68" s="12">
        <f t="shared" si="16"/>
        <v>88.64566030175439</v>
      </c>
      <c r="U68" s="53">
        <f t="shared" si="10"/>
        <v>1319.7603070175439</v>
      </c>
      <c r="V68" s="19">
        <f t="shared" si="11"/>
        <v>91.578157905084467</v>
      </c>
      <c r="W68" s="19"/>
      <c r="Z68" s="54">
        <f t="shared" si="12"/>
        <v>8.4218420949155326E-2</v>
      </c>
      <c r="AA68" s="7">
        <f t="shared" si="13"/>
        <v>0.33170221641304071</v>
      </c>
      <c r="AB68">
        <f t="shared" si="14"/>
        <v>-1.940735703474918</v>
      </c>
    </row>
    <row r="69" spans="1:28" x14ac:dyDescent="0.25">
      <c r="A69" s="41">
        <v>57</v>
      </c>
      <c r="B69" s="42">
        <v>39604</v>
      </c>
      <c r="C69" s="43"/>
      <c r="D69" s="55">
        <v>1200</v>
      </c>
      <c r="E69" s="56">
        <f t="shared" si="15"/>
        <v>60</v>
      </c>
      <c r="F69" s="67">
        <f>+'[1]Con 10hE'!E70</f>
        <v>0.29311403508771933</v>
      </c>
      <c r="G69" s="47">
        <f t="shared" si="2"/>
        <v>17.586842105263159</v>
      </c>
      <c r="H69" s="47">
        <f>+F69/G91</f>
        <v>2.033919866965875E-4</v>
      </c>
      <c r="I69" s="48">
        <f t="shared" si="0"/>
        <v>1.220351920179525E-2</v>
      </c>
      <c r="J69" s="49">
        <f t="shared" si="1"/>
        <v>14.6442230421543</v>
      </c>
      <c r="K69" s="45">
        <f t="shared" si="17"/>
        <v>0.20339198669658751</v>
      </c>
      <c r="L69" s="50">
        <f t="shared" si="3"/>
        <v>1.953125</v>
      </c>
      <c r="M69" s="50">
        <f t="shared" si="4"/>
        <v>0.12097153738659484</v>
      </c>
      <c r="N69" s="51">
        <f t="shared" si="5"/>
        <v>0.16470485571071214</v>
      </c>
      <c r="O69" s="52">
        <f t="shared" si="6"/>
        <v>0.19598009841040592</v>
      </c>
      <c r="P69" s="51">
        <f t="shared" si="7"/>
        <v>0.20905339150082358</v>
      </c>
      <c r="Q69" s="50">
        <f t="shared" si="8"/>
        <v>0.20229704116933736</v>
      </c>
      <c r="R69" s="19">
        <f t="shared" si="19"/>
        <v>14.765912631578949</v>
      </c>
      <c r="S69" s="19">
        <f t="shared" si="9"/>
        <v>1.1812730105263161</v>
      </c>
      <c r="T69" s="12">
        <f t="shared" si="16"/>
        <v>89.826933312280701</v>
      </c>
      <c r="U69" s="53">
        <f t="shared" si="10"/>
        <v>1337.3471491228072</v>
      </c>
      <c r="V69" s="19">
        <f t="shared" si="11"/>
        <v>92.798508748191139</v>
      </c>
      <c r="W69" s="19"/>
      <c r="Z69" s="54">
        <f t="shared" si="12"/>
        <v>7.2014912518088559E-2</v>
      </c>
      <c r="AA69" s="7">
        <f t="shared" si="13"/>
        <v>0.29630591339127677</v>
      </c>
      <c r="AB69">
        <f t="shared" si="14"/>
        <v>-2.1121999892658505</v>
      </c>
    </row>
    <row r="70" spans="1:28" x14ac:dyDescent="0.25">
      <c r="A70" s="41">
        <v>58</v>
      </c>
      <c r="B70" s="42">
        <v>39604</v>
      </c>
      <c r="C70" s="43"/>
      <c r="D70" s="83">
        <v>1260</v>
      </c>
      <c r="E70" s="56">
        <f t="shared" si="15"/>
        <v>60</v>
      </c>
      <c r="F70" s="67">
        <f>+'[1]Con 10hE'!E71</f>
        <v>0.28214912280701754</v>
      </c>
      <c r="G70" s="47">
        <f t="shared" si="2"/>
        <v>16.928947368421053</v>
      </c>
      <c r="H70" s="47">
        <f>+F70/G91</f>
        <v>1.9578342816387062E-4</v>
      </c>
      <c r="I70" s="48">
        <f t="shared" si="0"/>
        <v>1.1747005689832238E-2</v>
      </c>
      <c r="J70" s="49">
        <f t="shared" si="1"/>
        <v>14.801227169188619</v>
      </c>
      <c r="K70" s="45">
        <f t="shared" si="17"/>
        <v>0.19578342816387062</v>
      </c>
      <c r="L70" s="50">
        <f t="shared" si="3"/>
        <v>2.05078125</v>
      </c>
      <c r="M70" s="50">
        <f t="shared" si="4"/>
        <v>0.11644619183120823</v>
      </c>
      <c r="N70" s="51">
        <f t="shared" si="5"/>
        <v>0.11992687067030586</v>
      </c>
      <c r="O70" s="52">
        <f t="shared" si="6"/>
        <v>0.15153124013334945</v>
      </c>
      <c r="P70" s="51">
        <f t="shared" si="7"/>
        <v>0.1721319205789999</v>
      </c>
      <c r="Q70" s="50">
        <f t="shared" si="8"/>
        <v>0.16443868472794818</v>
      </c>
      <c r="R70" s="19">
        <f t="shared" si="19"/>
        <v>14.213544210526317</v>
      </c>
      <c r="S70" s="19">
        <f t="shared" si="9"/>
        <v>1.1370835368421053</v>
      </c>
      <c r="T70" s="12">
        <f t="shared" si="16"/>
        <v>90.9640168491228</v>
      </c>
      <c r="U70" s="53">
        <f t="shared" si="10"/>
        <v>1354.2760964912281</v>
      </c>
      <c r="V70" s="19">
        <f t="shared" si="11"/>
        <v>93.973208280393024</v>
      </c>
      <c r="W70" s="53"/>
      <c r="X70" s="66"/>
      <c r="Z70" s="54">
        <f t="shared" si="12"/>
        <v>6.026791719606972E-2</v>
      </c>
      <c r="AA70" s="7">
        <f t="shared" si="13"/>
        <v>0.26468678822848857</v>
      </c>
      <c r="AB70">
        <f t="shared" si="14"/>
        <v>-2.1503259853659205</v>
      </c>
    </row>
    <row r="71" spans="1:28" x14ac:dyDescent="0.25">
      <c r="A71" s="41">
        <v>59</v>
      </c>
      <c r="B71" s="42">
        <v>39604</v>
      </c>
      <c r="C71" s="43"/>
      <c r="D71" s="55">
        <v>1320</v>
      </c>
      <c r="E71" s="56">
        <f>+D71-D70</f>
        <v>60</v>
      </c>
      <c r="F71" s="45">
        <f>+'[1]Con 10hE'!E72</f>
        <v>0.23828947368421055</v>
      </c>
      <c r="G71" s="47">
        <f t="shared" si="2"/>
        <v>14.297368421052633</v>
      </c>
      <c r="H71" s="47">
        <f>+F71/G91</f>
        <v>1.6534919403300314E-4</v>
      </c>
      <c r="I71" s="48">
        <f t="shared" si="0"/>
        <v>9.9209516419801885E-3</v>
      </c>
      <c r="J71" s="49">
        <f t="shared" si="1"/>
        <v>13.095656167413848</v>
      </c>
      <c r="K71" s="45">
        <f t="shared" si="17"/>
        <v>0.16534919403300313</v>
      </c>
      <c r="L71" s="50">
        <f t="shared" si="3"/>
        <v>2.1484375</v>
      </c>
      <c r="M71" s="50">
        <f t="shared" si="4"/>
        <v>9.8344809609661799E-2</v>
      </c>
      <c r="N71" s="51">
        <f t="shared" si="5"/>
        <v>8.4663610501059056E-2</v>
      </c>
      <c r="O71" s="52">
        <f t="shared" si="6"/>
        <v>0.1142627019372113</v>
      </c>
      <c r="P71" s="51">
        <f t="shared" si="7"/>
        <v>0.1411647331197696</v>
      </c>
      <c r="Q71" s="50">
        <f t="shared" si="8"/>
        <v>0.13298673905924238</v>
      </c>
      <c r="R71" s="19">
        <f t="shared" si="19"/>
        <v>12.004070526315791</v>
      </c>
      <c r="S71" s="19">
        <f t="shared" si="9"/>
        <v>0.96032564210526328</v>
      </c>
      <c r="T71" s="12">
        <f t="shared" si="16"/>
        <v>91.92434249122806</v>
      </c>
      <c r="U71" s="53">
        <f t="shared" si="10"/>
        <v>1368.5734649122808</v>
      </c>
      <c r="V71" s="19">
        <f t="shared" si="11"/>
        <v>94.965302568975787</v>
      </c>
      <c r="W71" s="68">
        <f>+((([1]Resumen!O6-F70)*(D71-D70))/(F71-F70))+D70</f>
        <v>1308.8820000000001</v>
      </c>
      <c r="X71" s="69" t="s">
        <v>80</v>
      </c>
      <c r="Z71" s="54">
        <f t="shared" si="12"/>
        <v>5.0346974310242154E-2</v>
      </c>
      <c r="AA71" s="7">
        <f t="shared" si="13"/>
        <v>0.23644177418153164</v>
      </c>
      <c r="AB71">
        <f t="shared" si="14"/>
        <v>-2.3192755102253977</v>
      </c>
    </row>
    <row r="72" spans="1:28" x14ac:dyDescent="0.25">
      <c r="A72" s="41">
        <v>60</v>
      </c>
      <c r="B72" s="42">
        <v>39604</v>
      </c>
      <c r="C72" s="43"/>
      <c r="D72" s="55">
        <v>1380</v>
      </c>
      <c r="E72" s="56">
        <f t="shared" si="15"/>
        <v>60</v>
      </c>
      <c r="F72" s="45">
        <f>+'[1]Con 10hE'!E73</f>
        <v>0.21635964912280703</v>
      </c>
      <c r="G72" s="47">
        <f t="shared" si="2"/>
        <v>12.981578947368423</v>
      </c>
      <c r="H72" s="47">
        <f>+F72/G91</f>
        <v>1.5013207696756937E-4</v>
      </c>
      <c r="I72" s="48">
        <f t="shared" si="0"/>
        <v>9.0079246180541622E-3</v>
      </c>
      <c r="J72" s="49">
        <f t="shared" si="1"/>
        <v>12.430935972914744</v>
      </c>
      <c r="K72" s="45">
        <f t="shared" si="17"/>
        <v>0.15013207696756936</v>
      </c>
      <c r="L72" s="50">
        <f t="shared" si="3"/>
        <v>2.24609375</v>
      </c>
      <c r="M72" s="50">
        <f t="shared" si="4"/>
        <v>8.9294118498888575E-2</v>
      </c>
      <c r="N72" s="51">
        <f t="shared" si="5"/>
        <v>5.7949174512569736E-2</v>
      </c>
      <c r="O72" s="52">
        <f t="shared" si="6"/>
        <v>8.4027009484210394E-2</v>
      </c>
      <c r="P72" s="51">
        <f t="shared" si="7"/>
        <v>0.11537160763158641</v>
      </c>
      <c r="Q72" s="50">
        <f t="shared" si="8"/>
        <v>0.10705306728588965</v>
      </c>
      <c r="R72" s="19">
        <f t="shared" si="19"/>
        <v>10.899333684210527</v>
      </c>
      <c r="S72" s="19">
        <f t="shared" si="9"/>
        <v>0.87194669473684216</v>
      </c>
      <c r="T72" s="12">
        <f t="shared" si="16"/>
        <v>92.796289185964909</v>
      </c>
      <c r="U72" s="53">
        <f t="shared" si="10"/>
        <v>1381.5550438596492</v>
      </c>
      <c r="V72" s="19">
        <f t="shared" si="11"/>
        <v>95.86609423574896</v>
      </c>
      <c r="W72" s="19"/>
      <c r="Z72" s="54">
        <f t="shared" si="12"/>
        <v>4.1339057642510446E-2</v>
      </c>
      <c r="AA72" s="7">
        <f t="shared" si="13"/>
        <v>0.21121081619627785</v>
      </c>
      <c r="AB72">
        <f t="shared" si="14"/>
        <v>-2.4158196555431828</v>
      </c>
    </row>
    <row r="73" spans="1:28" x14ac:dyDescent="0.25">
      <c r="A73" s="41">
        <v>61</v>
      </c>
      <c r="B73" s="42">
        <v>39604</v>
      </c>
      <c r="C73" s="43"/>
      <c r="D73" s="55">
        <v>1440</v>
      </c>
      <c r="E73" s="56">
        <f t="shared" si="15"/>
        <v>60</v>
      </c>
      <c r="F73" s="45">
        <f>+'[1]Con 10hE'!E74</f>
        <v>0.17249999999999999</v>
      </c>
      <c r="G73" s="47">
        <f t="shared" si="2"/>
        <v>10.35</v>
      </c>
      <c r="H73" s="47">
        <f>+F73/G91</f>
        <v>1.1969784283670186E-4</v>
      </c>
      <c r="I73" s="48">
        <f t="shared" si="0"/>
        <v>7.1818705702021111E-3</v>
      </c>
      <c r="J73" s="49">
        <f t="shared" si="1"/>
        <v>10.341893621091041</v>
      </c>
      <c r="K73" s="45">
        <f t="shared" si="17"/>
        <v>0.11969784283670186</v>
      </c>
      <c r="L73" s="50">
        <f t="shared" si="3"/>
        <v>2.34375</v>
      </c>
      <c r="M73" s="50">
        <f t="shared" si="4"/>
        <v>7.1192736277342128E-2</v>
      </c>
      <c r="N73" s="51">
        <f t="shared" si="5"/>
        <v>3.8456336344034003E-2</v>
      </c>
      <c r="O73" s="52">
        <f t="shared" si="6"/>
        <v>6.0262262235553213E-2</v>
      </c>
      <c r="P73" s="51">
        <f t="shared" si="7"/>
        <v>9.4012157578023253E-2</v>
      </c>
      <c r="Q73" s="50">
        <f t="shared" si="8"/>
        <v>8.5811951312229226E-2</v>
      </c>
      <c r="R73" s="19">
        <f t="shared" si="19"/>
        <v>8.6898599999999995</v>
      </c>
      <c r="S73" s="19">
        <f t="shared" si="9"/>
        <v>0.69518879999999994</v>
      </c>
      <c r="T73" s="12">
        <f t="shared" si="16"/>
        <v>93.491477985964906</v>
      </c>
      <c r="U73" s="53">
        <f t="shared" si="10"/>
        <v>1391.9050438596491</v>
      </c>
      <c r="V73" s="19">
        <f t="shared" si="11"/>
        <v>96.584280658903026</v>
      </c>
      <c r="W73" s="19"/>
      <c r="Z73" s="54">
        <f t="shared" si="12"/>
        <v>3.4157193410969788E-2</v>
      </c>
      <c r="AA73" s="7">
        <f t="shared" si="13"/>
        <v>0.18867228108366277</v>
      </c>
      <c r="AB73">
        <f t="shared" si="14"/>
        <v>-2.6423644843451113</v>
      </c>
    </row>
    <row r="74" spans="1:28" x14ac:dyDescent="0.25">
      <c r="A74" s="41">
        <v>62</v>
      </c>
      <c r="B74" s="42">
        <v>39604</v>
      </c>
      <c r="C74" s="43"/>
      <c r="D74" s="55">
        <v>1500</v>
      </c>
      <c r="E74" s="56">
        <f t="shared" si="15"/>
        <v>60</v>
      </c>
      <c r="F74" s="45">
        <f>+'[1]Con 10hE'!E75</f>
        <v>0.15057017543859652</v>
      </c>
      <c r="G74" s="47">
        <f t="shared" si="2"/>
        <v>9.0342105263157908</v>
      </c>
      <c r="H74" s="47">
        <f>+F74/G91</f>
        <v>1.0448072577126815E-4</v>
      </c>
      <c r="I74" s="48">
        <f t="shared" si="0"/>
        <v>6.2688435462760891E-3</v>
      </c>
      <c r="J74" s="49">
        <f t="shared" si="1"/>
        <v>9.4032653194141336</v>
      </c>
      <c r="K74" s="45">
        <f t="shared" si="17"/>
        <v>0.10448072577126814</v>
      </c>
      <c r="L74" s="50">
        <f t="shared" si="3"/>
        <v>2.44140625</v>
      </c>
      <c r="M74" s="50">
        <f t="shared" si="4"/>
        <v>6.2142045166568932E-2</v>
      </c>
      <c r="N74" s="51">
        <f t="shared" si="5"/>
        <v>2.4743364125923734E-2</v>
      </c>
      <c r="O74" s="52">
        <f t="shared" si="6"/>
        <v>4.2148688002961225E-2</v>
      </c>
      <c r="P74" s="51">
        <f t="shared" si="7"/>
        <v>7.6410265118660434E-2</v>
      </c>
      <c r="Q74" s="50">
        <f t="shared" si="8"/>
        <v>6.8518014011667419E-2</v>
      </c>
      <c r="R74" s="19">
        <f t="shared" si="19"/>
        <v>7.5851231578947385</v>
      </c>
      <c r="S74" s="19">
        <f t="shared" si="9"/>
        <v>0.60680985263157905</v>
      </c>
      <c r="T74" s="12">
        <f t="shared" si="16"/>
        <v>94.098287838596491</v>
      </c>
      <c r="U74" s="53">
        <f t="shared" si="10"/>
        <v>1400.9392543859649</v>
      </c>
      <c r="V74" s="19">
        <f t="shared" si="11"/>
        <v>97.211164460247502</v>
      </c>
      <c r="W74" s="19"/>
      <c r="Z74" s="54">
        <f t="shared" si="12"/>
        <v>2.7888355397524989E-2</v>
      </c>
      <c r="AA74" s="7">
        <f t="shared" si="13"/>
        <v>0.16853885748082248</v>
      </c>
      <c r="AB74">
        <f t="shared" si="14"/>
        <v>-2.7783324633192286</v>
      </c>
    </row>
    <row r="75" spans="1:28" x14ac:dyDescent="0.25">
      <c r="A75" s="41">
        <v>63</v>
      </c>
      <c r="B75" s="42">
        <v>39604</v>
      </c>
      <c r="C75" s="43"/>
      <c r="D75" s="55">
        <v>1560</v>
      </c>
      <c r="E75" s="56">
        <f t="shared" si="15"/>
        <v>60</v>
      </c>
      <c r="F75" s="45">
        <f>+'[1]Con 10hE'!E76</f>
        <v>0.128640350877193</v>
      </c>
      <c r="G75" s="47">
        <f t="shared" si="2"/>
        <v>7.7184210526315802</v>
      </c>
      <c r="H75" s="47">
        <f>+F75/G91</f>
        <v>8.9263608705834383E-5</v>
      </c>
      <c r="I75" s="48">
        <f t="shared" si="0"/>
        <v>5.3558165223500627E-3</v>
      </c>
      <c r="J75" s="49">
        <f t="shared" si="1"/>
        <v>8.3550737748660975</v>
      </c>
      <c r="K75" s="45">
        <f t="shared" si="17"/>
        <v>8.9263608705834385E-2</v>
      </c>
      <c r="L75" s="50">
        <f t="shared" si="3"/>
        <v>2.5390625</v>
      </c>
      <c r="M75" s="50">
        <f t="shared" si="4"/>
        <v>5.3091354055795709E-2</v>
      </c>
      <c r="N75" s="51">
        <f t="shared" si="5"/>
        <v>1.5435466876568419E-2</v>
      </c>
      <c r="O75" s="52">
        <f t="shared" si="6"/>
        <v>2.874979788761832E-2</v>
      </c>
      <c r="P75" s="51">
        <f t="shared" si="7"/>
        <v>6.1964773303193443E-2</v>
      </c>
      <c r="Q75" s="50">
        <f t="shared" si="8"/>
        <v>5.4513342925116573E-2</v>
      </c>
      <c r="R75" s="19">
        <f t="shared" si="19"/>
        <v>6.4803863157894748</v>
      </c>
      <c r="S75" s="19">
        <f t="shared" si="9"/>
        <v>0.51843090526315794</v>
      </c>
      <c r="T75" s="12">
        <f t="shared" si="16"/>
        <v>94.61671874385965</v>
      </c>
      <c r="U75" s="53">
        <f t="shared" si="10"/>
        <v>1408.6576754385965</v>
      </c>
      <c r="V75" s="19">
        <f t="shared" si="11"/>
        <v>97.746745639782418</v>
      </c>
      <c r="W75" s="19"/>
      <c r="Z75" s="54">
        <f t="shared" si="12"/>
        <v>2.2532543602175825E-2</v>
      </c>
      <c r="AA75" s="7">
        <f t="shared" si="13"/>
        <v>0.15055389333182034</v>
      </c>
      <c r="AB75">
        <f t="shared" si="14"/>
        <v>-2.9357411877994695</v>
      </c>
    </row>
    <row r="76" spans="1:28" x14ac:dyDescent="0.25">
      <c r="A76" s="41">
        <v>64</v>
      </c>
      <c r="B76" s="42">
        <v>39604</v>
      </c>
      <c r="C76" s="43"/>
      <c r="D76" s="55">
        <v>1620</v>
      </c>
      <c r="E76" s="56">
        <f t="shared" si="15"/>
        <v>60</v>
      </c>
      <c r="F76" s="45">
        <f>+'[1]Con 10hE'!E77</f>
        <v>9.5745614035087731E-2</v>
      </c>
      <c r="G76" s="47">
        <f t="shared" si="2"/>
        <v>5.7447368421052643</v>
      </c>
      <c r="H76" s="47">
        <f>+F76/G91</f>
        <v>6.6437933107683759E-5</v>
      </c>
      <c r="I76" s="48">
        <f t="shared" ref="I76:I88" si="20">+H76*E76</f>
        <v>3.9862759864610258E-3</v>
      </c>
      <c r="J76" s="49">
        <f t="shared" ref="J76:J88" si="21">+D76*I76</f>
        <v>6.4577670980668618</v>
      </c>
      <c r="K76" s="45">
        <f t="shared" si="17"/>
        <v>6.6437933107683755E-2</v>
      </c>
      <c r="L76" s="50">
        <f t="shared" si="3"/>
        <v>2.63671875</v>
      </c>
      <c r="M76" s="50">
        <f t="shared" si="4"/>
        <v>3.9515317389635873E-2</v>
      </c>
      <c r="N76" s="51">
        <f t="shared" si="5"/>
        <v>9.3357879555766281E-3</v>
      </c>
      <c r="O76" s="52">
        <f t="shared" si="6"/>
        <v>1.9124832367857818E-2</v>
      </c>
      <c r="P76" s="51">
        <f t="shared" si="7"/>
        <v>5.0151526815288026E-2</v>
      </c>
      <c r="Q76" s="50">
        <f t="shared" si="8"/>
        <v>4.3227450583907402E-2</v>
      </c>
      <c r="R76" s="19">
        <f t="shared" si="19"/>
        <v>4.8232810526315797</v>
      </c>
      <c r="S76" s="19">
        <f t="shared" si="9"/>
        <v>0.38586248421052638</v>
      </c>
      <c r="T76" s="12">
        <f t="shared" si="16"/>
        <v>95.00258122807017</v>
      </c>
      <c r="U76" s="53">
        <f t="shared" si="10"/>
        <v>1414.4024122807018</v>
      </c>
      <c r="V76" s="19">
        <f t="shared" si="11"/>
        <v>98.145372886602985</v>
      </c>
      <c r="W76" s="19"/>
      <c r="Z76" s="54">
        <f t="shared" si="12"/>
        <v>1.8546271133970116E-2</v>
      </c>
      <c r="AA76" s="7">
        <f t="shared" si="13"/>
        <v>0.13448812419977565</v>
      </c>
      <c r="AB76">
        <f t="shared" si="14"/>
        <v>-3.2310669002269767</v>
      </c>
    </row>
    <row r="77" spans="1:28" x14ac:dyDescent="0.25">
      <c r="A77" s="41">
        <v>65</v>
      </c>
      <c r="B77" s="42">
        <v>39604</v>
      </c>
      <c r="C77" s="43"/>
      <c r="D77" s="55">
        <v>1680</v>
      </c>
      <c r="E77" s="56">
        <f t="shared" si="15"/>
        <v>60</v>
      </c>
      <c r="F77" s="45">
        <f>+'[1]Con 10hE'!E78</f>
        <v>8.478070175438597E-2</v>
      </c>
      <c r="G77" s="47">
        <f t="shared" ref="G77:G88" si="22">+F77*E77</f>
        <v>5.0868421052631581</v>
      </c>
      <c r="H77" s="47">
        <f>+F77/G91</f>
        <v>5.8829374574966878E-5</v>
      </c>
      <c r="I77" s="48">
        <f t="shared" si="20"/>
        <v>3.5297624744980126E-3</v>
      </c>
      <c r="J77" s="49">
        <f t="shared" si="21"/>
        <v>5.9300009571566612</v>
      </c>
      <c r="K77" s="45">
        <f t="shared" si="17"/>
        <v>5.8829374574966876E-2</v>
      </c>
      <c r="L77" s="50">
        <f t="shared" ref="L77:L88" si="23">+D77/(10.24*60)</f>
        <v>2.734375</v>
      </c>
      <c r="M77" s="50">
        <f t="shared" ref="M77:M88" si="24">+F77/2.423</f>
        <v>3.4989971834249262E-2</v>
      </c>
      <c r="N77" s="51">
        <f t="shared" ref="N77:N88" si="25">+(1/(2*SQRT(3.1416*0.1542))*EXP(-((1-L77)^2/(4*0.1542))))</f>
        <v>5.4745997456703503E-3</v>
      </c>
      <c r="O77" s="52">
        <f t="shared" ref="O77:O88" si="26">+(1/(2*SQRT(3.1416*0.1902))*EXP(-((1-L77)^2/(4*0.1902))))</f>
        <v>1.2407165755669023E-2</v>
      </c>
      <c r="P77" s="51">
        <f t="shared" ref="P77:P88" si="27">+(1/(2*SQRT(3.1416*L77*0.1078))*EXP(-((1-L77)^2/(4*L77*0.1078))))</f>
        <v>4.0520251239548152E-2</v>
      </c>
      <c r="Q77" s="50">
        <f t="shared" ref="Q77:Q88" si="28">+(3.6308*(3.2417*L77)^(3.2417-1)/FACT(3.2417-1))*EXP(-3.2417*L77)</f>
        <v>3.417275899097616E-2</v>
      </c>
      <c r="R77" s="19">
        <f t="shared" si="19"/>
        <v>4.2709126315789483</v>
      </c>
      <c r="S77" s="19">
        <f t="shared" ref="S77:S88" si="29">+R77/(5000*0.25)*100</f>
        <v>0.34167301052631588</v>
      </c>
      <c r="T77" s="12">
        <f t="shared" si="16"/>
        <v>95.344254238596491</v>
      </c>
      <c r="U77" s="53">
        <f t="shared" ref="U77:U88" si="30">+U76+G77</f>
        <v>1419.4892543859651</v>
      </c>
      <c r="V77" s="19">
        <f t="shared" ref="V77:V88" si="31">+U77/1441.13*100</f>
        <v>98.498348822518793</v>
      </c>
      <c r="W77" s="19"/>
      <c r="Z77" s="54">
        <f t="shared" ref="Z77:Z88" si="32">1-V77/100</f>
        <v>1.5016511774812114E-2</v>
      </c>
      <c r="AA77" s="7">
        <f t="shared" ref="AA77:AA88" si="33">2.423*EXP(-(1/0.8654)*(L77-(1-0.8654)))</f>
        <v>0.12013675070435045</v>
      </c>
      <c r="AB77">
        <f t="shared" ref="AB77:AB88" si="34">+LN(M77)</f>
        <v>-3.3526937775685899</v>
      </c>
    </row>
    <row r="78" spans="1:28" x14ac:dyDescent="0.25">
      <c r="A78" s="41">
        <v>66</v>
      </c>
      <c r="B78" s="42">
        <v>39604</v>
      </c>
      <c r="C78" s="43"/>
      <c r="D78" s="55">
        <v>1740</v>
      </c>
      <c r="E78" s="56">
        <f t="shared" ref="E78:E88" si="35">+D78-D77</f>
        <v>60</v>
      </c>
      <c r="F78" s="45">
        <f>+'[1]Con 10hE'!E79</f>
        <v>7.381578947368421E-2</v>
      </c>
      <c r="G78" s="47">
        <f t="shared" si="22"/>
        <v>4.4289473684210527</v>
      </c>
      <c r="H78" s="47">
        <f>+F78/G91</f>
        <v>5.1220816042249996E-5</v>
      </c>
      <c r="I78" s="48">
        <f t="shared" si="20"/>
        <v>3.0732489625349998E-3</v>
      </c>
      <c r="J78" s="49">
        <f t="shared" si="21"/>
        <v>5.3474531948108996</v>
      </c>
      <c r="K78" s="45">
        <f t="shared" si="17"/>
        <v>5.1220816042249998E-2</v>
      </c>
      <c r="L78" s="50">
        <f t="shared" si="23"/>
        <v>2.83203125</v>
      </c>
      <c r="M78" s="50">
        <f t="shared" si="24"/>
        <v>3.0464626278862653E-2</v>
      </c>
      <c r="N78" s="51">
        <f t="shared" si="25"/>
        <v>3.112604577896669E-3</v>
      </c>
      <c r="O78" s="52">
        <f t="shared" si="26"/>
        <v>7.8498188971788067E-3</v>
      </c>
      <c r="P78" s="51">
        <f t="shared" si="27"/>
        <v>3.268860672091943E-2</v>
      </c>
      <c r="Q78" s="50">
        <f t="shared" si="28"/>
        <v>2.6937537283617155E-2</v>
      </c>
      <c r="R78" s="19">
        <f t="shared" si="19"/>
        <v>3.718544210526316</v>
      </c>
      <c r="S78" s="19">
        <f t="shared" si="29"/>
        <v>0.29748353684210527</v>
      </c>
      <c r="T78" s="12">
        <f t="shared" ref="T78:T88" si="36">+T77+S78</f>
        <v>95.6417377754386</v>
      </c>
      <c r="U78" s="53">
        <f t="shared" si="30"/>
        <v>1423.918201754386</v>
      </c>
      <c r="V78" s="19">
        <f t="shared" si="31"/>
        <v>98.805673447529784</v>
      </c>
      <c r="W78" s="19"/>
      <c r="Z78" s="54">
        <f t="shared" si="32"/>
        <v>1.1943265524702151E-2</v>
      </c>
      <c r="AA78" s="7">
        <f t="shared" si="33"/>
        <v>0.10731682782905029</v>
      </c>
      <c r="AB78">
        <f t="shared" si="34"/>
        <v>-3.4911890625861148</v>
      </c>
    </row>
    <row r="79" spans="1:28" x14ac:dyDescent="0.25">
      <c r="A79" s="41">
        <v>67</v>
      </c>
      <c r="B79" s="42">
        <v>39604</v>
      </c>
      <c r="C79" s="43"/>
      <c r="D79" s="55">
        <v>1800</v>
      </c>
      <c r="E79" s="56">
        <f t="shared" si="35"/>
        <v>60</v>
      </c>
      <c r="F79" s="45">
        <f>+'[1]Con 10hE'!E80</f>
        <v>7.381578947368421E-2</v>
      </c>
      <c r="G79" s="47">
        <f t="shared" si="22"/>
        <v>4.4289473684210527</v>
      </c>
      <c r="H79" s="47">
        <f>+F79/G91</f>
        <v>5.1220816042249996E-5</v>
      </c>
      <c r="I79" s="48">
        <f t="shared" si="20"/>
        <v>3.0732489625349998E-3</v>
      </c>
      <c r="J79" s="49">
        <f t="shared" si="21"/>
        <v>5.5318481325629998</v>
      </c>
      <c r="K79" s="45">
        <f>+H79*1000</f>
        <v>5.1220816042249998E-2</v>
      </c>
      <c r="L79" s="50">
        <f t="shared" si="23"/>
        <v>2.9296875</v>
      </c>
      <c r="M79" s="50">
        <f t="shared" si="24"/>
        <v>3.0464626278862653E-2</v>
      </c>
      <c r="N79" s="51">
        <f t="shared" si="25"/>
        <v>1.7157962561553568E-3</v>
      </c>
      <c r="O79" s="52">
        <f t="shared" si="26"/>
        <v>4.8434943348469673E-3</v>
      </c>
      <c r="P79" s="51">
        <f t="shared" si="27"/>
        <v>2.6334937365811637E-2</v>
      </c>
      <c r="Q79" s="50">
        <f t="shared" si="28"/>
        <v>2.117763336327828E-2</v>
      </c>
      <c r="R79" s="19">
        <f t="shared" si="19"/>
        <v>3.718544210526316</v>
      </c>
      <c r="S79" s="19">
        <f t="shared" si="29"/>
        <v>0.29748353684210527</v>
      </c>
      <c r="T79" s="12">
        <f t="shared" si="36"/>
        <v>95.939221312280708</v>
      </c>
      <c r="U79" s="53">
        <f t="shared" si="30"/>
        <v>1428.347149122807</v>
      </c>
      <c r="V79" s="19">
        <f t="shared" si="31"/>
        <v>99.112998072540776</v>
      </c>
      <c r="W79" s="19"/>
      <c r="Z79" s="54">
        <f t="shared" si="32"/>
        <v>8.8700192745921891E-3</v>
      </c>
      <c r="AA79" s="7">
        <f t="shared" si="33"/>
        <v>9.586493281837169E-2</v>
      </c>
      <c r="AB79">
        <f t="shared" si="34"/>
        <v>-3.4911890625861148</v>
      </c>
    </row>
    <row r="80" spans="1:28" x14ac:dyDescent="0.25">
      <c r="A80" s="41">
        <v>68</v>
      </c>
      <c r="B80" s="42">
        <v>39604</v>
      </c>
      <c r="C80" s="43"/>
      <c r="D80" s="55">
        <v>1830</v>
      </c>
      <c r="E80" s="56">
        <f t="shared" si="35"/>
        <v>30</v>
      </c>
      <c r="F80" s="45">
        <f>+'[1]Con 10hE'!E81</f>
        <v>6.2850877192982449E-2</v>
      </c>
      <c r="G80" s="47">
        <f t="shared" si="22"/>
        <v>1.8855263157894735</v>
      </c>
      <c r="H80" s="47">
        <f>+F80/G91</f>
        <v>4.3612257509533122E-5</v>
      </c>
      <c r="I80" s="48">
        <f t="shared" si="20"/>
        <v>1.3083677252859935E-3</v>
      </c>
      <c r="J80" s="49">
        <f t="shared" si="21"/>
        <v>2.394312937273368</v>
      </c>
      <c r="K80" s="45">
        <f>+H80*1000</f>
        <v>4.3612257509533119E-2</v>
      </c>
      <c r="L80" s="50">
        <f t="shared" si="23"/>
        <v>2.978515625</v>
      </c>
      <c r="M80" s="50">
        <f t="shared" si="24"/>
        <v>2.5939280723476042E-2</v>
      </c>
      <c r="N80" s="51">
        <f t="shared" si="25"/>
        <v>1.2592165332914354E-3</v>
      </c>
      <c r="O80" s="52">
        <f t="shared" si="26"/>
        <v>3.7689937321510889E-3</v>
      </c>
      <c r="P80" s="51">
        <f t="shared" si="27"/>
        <v>2.362654650342861E-2</v>
      </c>
      <c r="Q80" s="50">
        <f t="shared" si="28"/>
        <v>1.875974213621906E-2</v>
      </c>
      <c r="R80" s="19">
        <f t="shared" si="19"/>
        <v>1.5830878947368421</v>
      </c>
      <c r="S80" s="19">
        <f t="shared" si="29"/>
        <v>0.12664703157894736</v>
      </c>
      <c r="T80" s="12">
        <f t="shared" si="36"/>
        <v>96.065868343859648</v>
      </c>
      <c r="U80" s="53">
        <f t="shared" si="30"/>
        <v>1430.2326754385965</v>
      </c>
      <c r="V80" s="19">
        <f t="shared" si="31"/>
        <v>99.2438347295939</v>
      </c>
      <c r="W80" s="19"/>
      <c r="Z80" s="54">
        <f t="shared" si="32"/>
        <v>7.5616527040609505E-3</v>
      </c>
      <c r="AA80" s="7">
        <f t="shared" si="33"/>
        <v>9.0605746929800196E-2</v>
      </c>
      <c r="AB80">
        <f t="shared" si="34"/>
        <v>-3.6519968289487492</v>
      </c>
    </row>
    <row r="81" spans="1:28" x14ac:dyDescent="0.25">
      <c r="A81" s="41">
        <v>69</v>
      </c>
      <c r="B81" s="42">
        <v>39604</v>
      </c>
      <c r="C81" s="43"/>
      <c r="D81" s="55">
        <v>1860</v>
      </c>
      <c r="E81" s="56">
        <f t="shared" si="35"/>
        <v>30</v>
      </c>
      <c r="F81" s="45">
        <f>+'[1]Con 10hE'!E82</f>
        <v>5.1885964912280702E-2</v>
      </c>
      <c r="G81" s="47">
        <f t="shared" si="22"/>
        <v>1.5565789473684211</v>
      </c>
      <c r="H81" s="47">
        <f>+F81/G91</f>
        <v>3.6003698976816247E-5</v>
      </c>
      <c r="I81" s="48">
        <f t="shared" si="20"/>
        <v>1.0801109693044874E-3</v>
      </c>
      <c r="J81" s="49">
        <f t="shared" si="21"/>
        <v>2.0090064029063464</v>
      </c>
      <c r="K81" s="45">
        <f>+H81*1000</f>
        <v>3.6003698976816247E-2</v>
      </c>
      <c r="L81" s="50">
        <f t="shared" si="23"/>
        <v>3.02734375</v>
      </c>
      <c r="M81" s="50">
        <f t="shared" si="24"/>
        <v>2.1413935168089437E-2</v>
      </c>
      <c r="N81" s="51">
        <f t="shared" si="25"/>
        <v>9.1701758713519518E-4</v>
      </c>
      <c r="O81" s="52">
        <f t="shared" si="26"/>
        <v>2.9145402732278069E-3</v>
      </c>
      <c r="P81" s="51">
        <f t="shared" si="27"/>
        <v>2.1190673815105115E-2</v>
      </c>
      <c r="Q81" s="50">
        <f t="shared" si="28"/>
        <v>1.6607896497967786E-2</v>
      </c>
      <c r="R81" s="19">
        <f t="shared" si="19"/>
        <v>1.3069036842105264</v>
      </c>
      <c r="S81" s="19">
        <f t="shared" si="29"/>
        <v>0.10455229473684211</v>
      </c>
      <c r="T81" s="12">
        <f t="shared" si="36"/>
        <v>96.170420638596497</v>
      </c>
      <c r="U81" s="53">
        <f t="shared" si="30"/>
        <v>1431.789254385965</v>
      </c>
      <c r="V81" s="19">
        <f t="shared" si="31"/>
        <v>99.351845731194615</v>
      </c>
      <c r="W81" s="19"/>
      <c r="Z81" s="54">
        <f t="shared" si="32"/>
        <v>6.4815426880538984E-3</v>
      </c>
      <c r="AA81" s="7">
        <f t="shared" si="33"/>
        <v>8.5635081936173224E-2</v>
      </c>
      <c r="AB81">
        <f t="shared" si="34"/>
        <v>-3.8437133927985339</v>
      </c>
    </row>
    <row r="82" spans="1:28" x14ac:dyDescent="0.25">
      <c r="A82" s="41">
        <v>70</v>
      </c>
      <c r="B82" s="42">
        <v>39604</v>
      </c>
      <c r="C82" s="43"/>
      <c r="D82" s="55">
        <v>1890</v>
      </c>
      <c r="E82" s="56">
        <f t="shared" si="35"/>
        <v>30</v>
      </c>
      <c r="F82" s="45">
        <f>+'[1]Con 10hE'!E83</f>
        <v>5.1885964912280702E-2</v>
      </c>
      <c r="G82" s="47">
        <f t="shared" si="22"/>
        <v>1.5565789473684211</v>
      </c>
      <c r="H82" s="47">
        <f>+F82/G91</f>
        <v>3.6003698976816247E-5</v>
      </c>
      <c r="I82" s="48">
        <f t="shared" si="20"/>
        <v>1.0801109693044874E-3</v>
      </c>
      <c r="J82" s="49">
        <f t="shared" si="21"/>
        <v>2.0414097319854814</v>
      </c>
      <c r="K82" s="45">
        <f>+H82*1000</f>
        <v>3.6003698976816247E-2</v>
      </c>
      <c r="L82" s="50">
        <f t="shared" si="23"/>
        <v>3.076171875</v>
      </c>
      <c r="M82" s="50">
        <f t="shared" si="24"/>
        <v>2.1413935168089437E-2</v>
      </c>
      <c r="N82" s="51">
        <f t="shared" si="25"/>
        <v>6.6267022723611021E-4</v>
      </c>
      <c r="O82" s="52">
        <f t="shared" si="26"/>
        <v>2.2397148671287046E-3</v>
      </c>
      <c r="P82" s="51">
        <f t="shared" si="27"/>
        <v>1.9000833069423486E-2</v>
      </c>
      <c r="Q82" s="50">
        <f t="shared" si="28"/>
        <v>1.4694306521374302E-2</v>
      </c>
      <c r="R82" s="19">
        <f t="shared" si="19"/>
        <v>1.3069036842105264</v>
      </c>
      <c r="S82" s="19">
        <f t="shared" si="29"/>
        <v>0.10455229473684211</v>
      </c>
      <c r="T82" s="12">
        <f t="shared" si="36"/>
        <v>96.274972933333345</v>
      </c>
      <c r="U82" s="53">
        <f t="shared" si="30"/>
        <v>1433.3458333333335</v>
      </c>
      <c r="V82" s="19">
        <f t="shared" si="31"/>
        <v>99.459856732795345</v>
      </c>
      <c r="W82" s="19"/>
      <c r="Z82" s="54">
        <f t="shared" si="32"/>
        <v>5.4014326720465133E-3</v>
      </c>
      <c r="AA82" s="7">
        <f t="shared" si="33"/>
        <v>8.0937109473826943E-2</v>
      </c>
      <c r="AB82">
        <f t="shared" si="34"/>
        <v>-3.8437133927985339</v>
      </c>
    </row>
    <row r="83" spans="1:28" x14ac:dyDescent="0.25">
      <c r="A83" s="41">
        <v>71</v>
      </c>
      <c r="B83" s="42">
        <v>39604</v>
      </c>
      <c r="C83" s="43"/>
      <c r="D83" s="55">
        <v>1920</v>
      </c>
      <c r="E83" s="56">
        <f t="shared" si="35"/>
        <v>30</v>
      </c>
      <c r="F83" s="45">
        <f>+'[1]Con 10hE'!E84</f>
        <v>5.1885964912280702E-2</v>
      </c>
      <c r="G83" s="47">
        <f t="shared" si="22"/>
        <v>1.5565789473684211</v>
      </c>
      <c r="H83" s="47">
        <f>+F83/G91</f>
        <v>3.6003698976816247E-5</v>
      </c>
      <c r="I83" s="48">
        <f t="shared" si="20"/>
        <v>1.0801109693044874E-3</v>
      </c>
      <c r="J83" s="49">
        <f t="shared" si="21"/>
        <v>2.0738130610646159</v>
      </c>
      <c r="K83" s="45">
        <f t="shared" ref="K83:K88" si="37">+H83*1000</f>
        <v>3.6003698976816247E-2</v>
      </c>
      <c r="L83" s="50">
        <f t="shared" si="23"/>
        <v>3.125</v>
      </c>
      <c r="M83" s="50">
        <f t="shared" si="24"/>
        <v>2.1413935168089437E-2</v>
      </c>
      <c r="N83" s="51">
        <f t="shared" si="25"/>
        <v>4.7518180076485376E-4</v>
      </c>
      <c r="O83" s="52">
        <f t="shared" si="26"/>
        <v>1.7103832364466452E-3</v>
      </c>
      <c r="P83" s="51">
        <f t="shared" si="27"/>
        <v>1.7032963268726223E-2</v>
      </c>
      <c r="Q83" s="50">
        <f t="shared" si="28"/>
        <v>1.2993861664451921E-2</v>
      </c>
      <c r="R83" s="19">
        <f t="shared" si="19"/>
        <v>1.3069036842105264</v>
      </c>
      <c r="S83" s="19">
        <f t="shared" si="29"/>
        <v>0.10455229473684211</v>
      </c>
      <c r="T83" s="12">
        <f t="shared" si="36"/>
        <v>96.379525228070193</v>
      </c>
      <c r="U83" s="53">
        <f t="shared" si="30"/>
        <v>1434.902412280702</v>
      </c>
      <c r="V83" s="19">
        <f t="shared" si="31"/>
        <v>99.56786773439606</v>
      </c>
      <c r="W83" s="19"/>
      <c r="Z83" s="54">
        <f t="shared" si="32"/>
        <v>4.3213226560393503E-3</v>
      </c>
      <c r="AA83" s="7">
        <f t="shared" si="33"/>
        <v>7.6496869529018463E-2</v>
      </c>
      <c r="AB83">
        <f t="shared" si="34"/>
        <v>-3.8437133927985339</v>
      </c>
    </row>
    <row r="84" spans="1:28" x14ac:dyDescent="0.25">
      <c r="A84" s="41">
        <v>72</v>
      </c>
      <c r="B84" s="42">
        <v>39604</v>
      </c>
      <c r="C84" s="43"/>
      <c r="D84" s="55">
        <v>1950</v>
      </c>
      <c r="E84" s="56">
        <f t="shared" si="35"/>
        <v>30</v>
      </c>
      <c r="F84" s="45">
        <f>+'[1]Con 10hE'!E85</f>
        <v>5.1885964912280702E-2</v>
      </c>
      <c r="G84" s="47">
        <f t="shared" si="22"/>
        <v>1.5565789473684211</v>
      </c>
      <c r="H84" s="47">
        <f>+F84/G91</f>
        <v>3.6003698976816247E-5</v>
      </c>
      <c r="I84" s="48">
        <f t="shared" si="20"/>
        <v>1.0801109693044874E-3</v>
      </c>
      <c r="J84" s="49">
        <f t="shared" si="21"/>
        <v>2.1062163901437505</v>
      </c>
      <c r="K84" s="45">
        <f t="shared" si="37"/>
        <v>3.6003698976816247E-2</v>
      </c>
      <c r="L84" s="50">
        <f t="shared" si="23"/>
        <v>3.173828125</v>
      </c>
      <c r="M84" s="50">
        <f t="shared" si="24"/>
        <v>2.1413935168089437E-2</v>
      </c>
      <c r="N84" s="51">
        <f t="shared" si="25"/>
        <v>3.3811519261259964E-4</v>
      </c>
      <c r="O84" s="52">
        <f t="shared" si="26"/>
        <v>1.2979924200901768E-3</v>
      </c>
      <c r="P84" s="51">
        <f t="shared" si="27"/>
        <v>1.5265231274454104E-2</v>
      </c>
      <c r="Q84" s="50">
        <f t="shared" si="28"/>
        <v>1.1483907050929231E-2</v>
      </c>
      <c r="R84" s="19">
        <f t="shared" si="19"/>
        <v>1.3069036842105264</v>
      </c>
      <c r="S84" s="19">
        <f t="shared" si="29"/>
        <v>0.10455229473684211</v>
      </c>
      <c r="T84" s="12">
        <f t="shared" si="36"/>
        <v>96.484077522807041</v>
      </c>
      <c r="U84" s="53">
        <f t="shared" si="30"/>
        <v>1436.4589912280705</v>
      </c>
      <c r="V84" s="19">
        <f t="shared" si="31"/>
        <v>99.675878735996776</v>
      </c>
      <c r="W84" s="19"/>
      <c r="Z84" s="54">
        <f t="shared" si="32"/>
        <v>3.2412126400322983E-3</v>
      </c>
      <c r="AA84" s="7">
        <f t="shared" si="33"/>
        <v>7.2300222799925817E-2</v>
      </c>
      <c r="AB84">
        <f t="shared" si="34"/>
        <v>-3.8437133927985339</v>
      </c>
    </row>
    <row r="85" spans="1:28" x14ac:dyDescent="0.25">
      <c r="A85" s="41">
        <v>73</v>
      </c>
      <c r="B85" s="42">
        <v>39604</v>
      </c>
      <c r="C85" s="43"/>
      <c r="D85" s="55">
        <v>1980</v>
      </c>
      <c r="E85" s="56">
        <f t="shared" si="35"/>
        <v>30</v>
      </c>
      <c r="F85" s="45">
        <f>+'[1]Con 10hE'!E86</f>
        <v>6.2850877192982449E-2</v>
      </c>
      <c r="G85" s="47">
        <f t="shared" si="22"/>
        <v>1.8855263157894735</v>
      </c>
      <c r="H85" s="47">
        <f>+F85/G91</f>
        <v>4.3612257509533122E-5</v>
      </c>
      <c r="I85" s="48">
        <f t="shared" si="20"/>
        <v>1.3083677252859935E-3</v>
      </c>
      <c r="J85" s="49">
        <f t="shared" si="21"/>
        <v>2.5905680960662671</v>
      </c>
      <c r="K85" s="45">
        <f t="shared" si="37"/>
        <v>4.3612257509533119E-2</v>
      </c>
      <c r="L85" s="50">
        <f t="shared" si="23"/>
        <v>3.22265625</v>
      </c>
      <c r="M85" s="50">
        <f t="shared" si="24"/>
        <v>2.5939280723476042E-2</v>
      </c>
      <c r="N85" s="51">
        <f t="shared" si="25"/>
        <v>2.3873281453056495E-4</v>
      </c>
      <c r="O85" s="52">
        <f t="shared" si="26"/>
        <v>9.7887876583816055E-4</v>
      </c>
      <c r="P85" s="51">
        <f t="shared" si="27"/>
        <v>1.3677846139385635E-2</v>
      </c>
      <c r="Q85" s="50">
        <f t="shared" si="28"/>
        <v>1.0144032767257161E-2</v>
      </c>
      <c r="R85" s="19">
        <f t="shared" si="19"/>
        <v>1.5830878947368421</v>
      </c>
      <c r="S85" s="19">
        <f t="shared" si="29"/>
        <v>0.12664703157894736</v>
      </c>
      <c r="T85" s="12">
        <f t="shared" si="36"/>
        <v>96.610724554385982</v>
      </c>
      <c r="U85" s="53">
        <f t="shared" si="30"/>
        <v>1438.3445175438601</v>
      </c>
      <c r="V85" s="19">
        <f t="shared" si="31"/>
        <v>99.806715393049899</v>
      </c>
      <c r="W85" s="19"/>
      <c r="Z85" s="54">
        <f t="shared" si="32"/>
        <v>1.9328460695010596E-3</v>
      </c>
      <c r="AA85" s="7">
        <f t="shared" si="33"/>
        <v>6.8333805672086606E-2</v>
      </c>
      <c r="AB85">
        <f t="shared" si="34"/>
        <v>-3.6519968289487492</v>
      </c>
    </row>
    <row r="86" spans="1:28" x14ac:dyDescent="0.25">
      <c r="A86" s="41">
        <v>74</v>
      </c>
      <c r="B86" s="42">
        <v>39604</v>
      </c>
      <c r="C86" s="43"/>
      <c r="D86" s="55">
        <v>2010</v>
      </c>
      <c r="E86" s="56">
        <f t="shared" si="35"/>
        <v>30</v>
      </c>
      <c r="F86" s="45">
        <f>+'[1]Con 10hE'!E87</f>
        <v>5.1885964912280702E-2</v>
      </c>
      <c r="G86" s="47">
        <f t="shared" si="22"/>
        <v>1.5565789473684211</v>
      </c>
      <c r="H86" s="47">
        <f>+F86/G91</f>
        <v>3.6003698976816247E-5</v>
      </c>
      <c r="I86" s="48">
        <f t="shared" si="20"/>
        <v>1.0801109693044874E-3</v>
      </c>
      <c r="J86" s="49">
        <f t="shared" si="21"/>
        <v>2.1710230483020196</v>
      </c>
      <c r="K86" s="45">
        <f t="shared" si="37"/>
        <v>3.6003698976816247E-2</v>
      </c>
      <c r="L86" s="50">
        <f t="shared" si="23"/>
        <v>3.271484375</v>
      </c>
      <c r="M86" s="50">
        <f t="shared" si="24"/>
        <v>2.1413935168089437E-2</v>
      </c>
      <c r="N86" s="51">
        <f t="shared" si="25"/>
        <v>1.6726385315333727E-4</v>
      </c>
      <c r="O86" s="52">
        <f t="shared" si="26"/>
        <v>7.3360736989459884E-4</v>
      </c>
      <c r="P86" s="51">
        <f t="shared" si="27"/>
        <v>1.2252885317605008E-2</v>
      </c>
      <c r="Q86" s="50">
        <f t="shared" si="28"/>
        <v>8.9558764621410544E-3</v>
      </c>
      <c r="R86" s="19">
        <f t="shared" si="19"/>
        <v>1.3069036842105264</v>
      </c>
      <c r="S86" s="19">
        <f t="shared" si="29"/>
        <v>0.10455229473684211</v>
      </c>
      <c r="T86" s="12">
        <f t="shared" si="36"/>
        <v>96.71527684912283</v>
      </c>
      <c r="U86" s="53">
        <f t="shared" si="30"/>
        <v>1439.9010964912286</v>
      </c>
      <c r="V86" s="19">
        <f t="shared" si="31"/>
        <v>99.914726394650614</v>
      </c>
      <c r="W86" s="19"/>
      <c r="Z86" s="54">
        <f t="shared" si="32"/>
        <v>8.5273605349389658E-4</v>
      </c>
      <c r="AA86" s="7">
        <f t="shared" si="33"/>
        <v>6.4584987663900931E-2</v>
      </c>
      <c r="AB86">
        <f t="shared" si="34"/>
        <v>-3.8437133927985339</v>
      </c>
    </row>
    <row r="87" spans="1:28" x14ac:dyDescent="0.25">
      <c r="A87" s="41">
        <v>75</v>
      </c>
      <c r="B87" s="42">
        <v>39604</v>
      </c>
      <c r="C87" s="43"/>
      <c r="D87" s="55">
        <v>2040</v>
      </c>
      <c r="E87" s="56">
        <f t="shared" si="35"/>
        <v>30</v>
      </c>
      <c r="F87" s="45">
        <f>+'[1]Con 10hE'!E88</f>
        <v>4.0921052631578941E-2</v>
      </c>
      <c r="G87" s="47">
        <f t="shared" si="22"/>
        <v>1.2276315789473682</v>
      </c>
      <c r="H87" s="47">
        <f>+F87/G91</f>
        <v>2.8395140444099372E-5</v>
      </c>
      <c r="I87" s="48">
        <f t="shared" si="20"/>
        <v>8.5185421332298122E-4</v>
      </c>
      <c r="J87" s="49">
        <f t="shared" si="21"/>
        <v>1.7377825951788817</v>
      </c>
      <c r="K87" s="45">
        <f t="shared" si="37"/>
        <v>2.8395140444099371E-2</v>
      </c>
      <c r="L87" s="50">
        <f t="shared" si="23"/>
        <v>3.3203125</v>
      </c>
      <c r="M87" s="50">
        <f t="shared" si="24"/>
        <v>1.6888589612702821E-2</v>
      </c>
      <c r="N87" s="51">
        <f t="shared" si="25"/>
        <v>1.1628792531350749E-4</v>
      </c>
      <c r="O87" s="52">
        <f t="shared" si="26"/>
        <v>5.4635697273521574E-4</v>
      </c>
      <c r="P87" s="51">
        <f t="shared" si="27"/>
        <v>1.0974132689961648E-2</v>
      </c>
      <c r="Q87" s="50">
        <f t="shared" si="28"/>
        <v>7.9029392699865517E-3</v>
      </c>
      <c r="R87" s="19">
        <f t="shared" si="19"/>
        <v>1.0307194736842105</v>
      </c>
      <c r="S87" s="19">
        <f t="shared" si="29"/>
        <v>8.2457557894736841E-2</v>
      </c>
      <c r="T87" s="12">
        <f t="shared" si="36"/>
        <v>96.797734407017572</v>
      </c>
      <c r="U87" s="53">
        <f t="shared" si="30"/>
        <v>1441.1287280701761</v>
      </c>
      <c r="V87" s="19">
        <f t="shared" si="31"/>
        <v>99.99991174079895</v>
      </c>
      <c r="W87" s="19"/>
      <c r="Z87" s="54">
        <f t="shared" si="32"/>
        <v>8.8259201047602431E-7</v>
      </c>
      <c r="AA87" s="7">
        <f t="shared" si="33"/>
        <v>6.1041831206689517E-2</v>
      </c>
      <c r="AB87">
        <f t="shared" si="34"/>
        <v>-4.0811170559295773</v>
      </c>
    </row>
    <row r="88" spans="1:28" x14ac:dyDescent="0.25">
      <c r="A88" s="41">
        <v>76</v>
      </c>
      <c r="B88" s="42">
        <v>39604</v>
      </c>
      <c r="C88" s="43"/>
      <c r="D88" s="55">
        <v>2070</v>
      </c>
      <c r="E88" s="56">
        <f t="shared" si="35"/>
        <v>30</v>
      </c>
      <c r="F88" s="45">
        <f>+'[1]Con 10hE'!E89</f>
        <v>0</v>
      </c>
      <c r="G88" s="47">
        <f t="shared" si="22"/>
        <v>0</v>
      </c>
      <c r="H88" s="47">
        <f>+F88/G91</f>
        <v>0</v>
      </c>
      <c r="I88" s="48">
        <f t="shared" si="20"/>
        <v>0</v>
      </c>
      <c r="J88" s="49">
        <f t="shared" si="21"/>
        <v>0</v>
      </c>
      <c r="K88" s="45">
        <f t="shared" si="37"/>
        <v>0</v>
      </c>
      <c r="L88" s="50">
        <f t="shared" si="23"/>
        <v>3.369140625</v>
      </c>
      <c r="M88" s="50">
        <f t="shared" si="24"/>
        <v>0</v>
      </c>
      <c r="N88" s="51">
        <f t="shared" si="25"/>
        <v>8.0224994104852808E-5</v>
      </c>
      <c r="O88" s="52">
        <f t="shared" si="26"/>
        <v>4.0435919273500756E-4</v>
      </c>
      <c r="P88" s="51">
        <f t="shared" si="27"/>
        <v>9.8269281668973436E-3</v>
      </c>
      <c r="Q88" s="50">
        <f t="shared" si="28"/>
        <v>6.9704148726393769E-3</v>
      </c>
      <c r="R88" s="19">
        <f t="shared" si="19"/>
        <v>0</v>
      </c>
      <c r="S88" s="19">
        <f t="shared" si="29"/>
        <v>0</v>
      </c>
      <c r="T88" s="12">
        <f t="shared" si="36"/>
        <v>96.797734407017572</v>
      </c>
      <c r="U88" s="53">
        <f t="shared" si="30"/>
        <v>1441.1287280701761</v>
      </c>
      <c r="V88" s="19">
        <f t="shared" si="31"/>
        <v>99.99991174079895</v>
      </c>
      <c r="W88" s="19"/>
      <c r="Z88" s="54">
        <f t="shared" si="32"/>
        <v>8.8259201047602431E-7</v>
      </c>
      <c r="AA88" s="7">
        <f t="shared" si="33"/>
        <v>5.7693053631233254E-2</v>
      </c>
      <c r="AB88" t="e">
        <f t="shared" si="34"/>
        <v>#NUM!</v>
      </c>
    </row>
    <row r="89" spans="1:28" x14ac:dyDescent="0.25">
      <c r="D89" s="4">
        <f>SUM(D15:D87)</f>
        <v>52335</v>
      </c>
      <c r="F89" s="84">
        <f>+MAX(F12:F88)</f>
        <v>2.4641666666666668</v>
      </c>
      <c r="G89" s="85"/>
      <c r="H89" s="85"/>
      <c r="I89" s="10"/>
      <c r="J89" s="15"/>
      <c r="K89" s="54"/>
      <c r="L89" s="19"/>
      <c r="M89" s="15">
        <f>+MAX(M12:M88)</f>
        <v>1.0169899573531436</v>
      </c>
      <c r="N89" s="53"/>
      <c r="O89" s="11"/>
      <c r="P89" s="53"/>
      <c r="Q89" s="53" t="s">
        <v>81</v>
      </c>
      <c r="R89" s="3">
        <f>SUM(R12:R88)</f>
        <v>1209.9716800877191</v>
      </c>
      <c r="S89" s="3">
        <f>SUM(S12:S88)</f>
        <v>96.797734407017572</v>
      </c>
      <c r="T89" s="3"/>
      <c r="U89" s="3"/>
      <c r="V89" s="3"/>
      <c r="W89" s="3"/>
    </row>
    <row r="90" spans="1:28" x14ac:dyDescent="0.25">
      <c r="D90" s="4">
        <f>+D89/72</f>
        <v>726.875</v>
      </c>
      <c r="E90" s="4"/>
      <c r="F90" s="84">
        <f>1.25/2.4642</f>
        <v>0.5072640207775343</v>
      </c>
      <c r="G90" s="85"/>
      <c r="H90" s="85"/>
      <c r="I90" s="10"/>
      <c r="J90" s="15"/>
      <c r="K90" s="54"/>
      <c r="L90" s="19"/>
      <c r="N90" s="19"/>
      <c r="O90" s="16"/>
      <c r="P90" s="19"/>
      <c r="Q90" s="19" t="s">
        <v>82</v>
      </c>
      <c r="R90" s="3">
        <f>+R89/(5000*0.25)*100</f>
        <v>96.797734407017515</v>
      </c>
      <c r="S90" s="3"/>
      <c r="T90" s="3"/>
      <c r="U90" s="3"/>
      <c r="V90" s="3"/>
      <c r="W90" s="3"/>
    </row>
    <row r="91" spans="1:28" x14ac:dyDescent="0.25">
      <c r="F91" t="s">
        <v>64</v>
      </c>
      <c r="G91" s="54">
        <f>SUM(G12:G88)</f>
        <v>1441.1287280701761</v>
      </c>
      <c r="I91" s="86" t="s">
        <v>83</v>
      </c>
      <c r="J91" s="9">
        <f>SUM(J12:J88)</f>
        <v>621.47986691718052</v>
      </c>
    </row>
    <row r="93" spans="1:28" x14ac:dyDescent="0.25">
      <c r="H93" t="s">
        <v>84</v>
      </c>
      <c r="J93" s="87">
        <f>+J91/60</f>
        <v>10.357997781953008</v>
      </c>
    </row>
    <row r="94" spans="1:28" x14ac:dyDescent="0.25">
      <c r="H94" t="s">
        <v>85</v>
      </c>
      <c r="J94" s="88">
        <f>+J93/M110</f>
        <v>1.0115523334672538</v>
      </c>
    </row>
    <row r="98" spans="10:28" x14ac:dyDescent="0.25">
      <c r="J98" t="s">
        <v>86</v>
      </c>
      <c r="K98" t="s">
        <v>87</v>
      </c>
      <c r="L98" t="s">
        <v>18</v>
      </c>
      <c r="M98" s="3" t="s">
        <v>19</v>
      </c>
      <c r="N98" s="3" t="s">
        <v>88</v>
      </c>
      <c r="O98" s="8" t="s">
        <v>89</v>
      </c>
      <c r="Q98" s="3"/>
    </row>
    <row r="99" spans="10:28" x14ac:dyDescent="0.25">
      <c r="J99" s="89">
        <v>0.28472222222222221</v>
      </c>
      <c r="K99">
        <v>0</v>
      </c>
      <c r="L99">
        <v>840</v>
      </c>
      <c r="M99">
        <v>840</v>
      </c>
      <c r="N99" s="5"/>
      <c r="O99" s="90"/>
      <c r="P99" s="3" t="s">
        <v>90</v>
      </c>
    </row>
    <row r="100" spans="10:28" x14ac:dyDescent="0.25">
      <c r="J100" s="89">
        <v>0.53472222222222221</v>
      </c>
      <c r="K100">
        <v>360</v>
      </c>
      <c r="L100">
        <v>810</v>
      </c>
      <c r="M100">
        <v>840</v>
      </c>
      <c r="N100" s="5">
        <v>34.799999999999997</v>
      </c>
      <c r="O100" s="90">
        <v>33.9</v>
      </c>
    </row>
    <row r="101" spans="10:28" x14ac:dyDescent="0.25">
      <c r="J101" s="89">
        <v>0.78472222222222221</v>
      </c>
      <c r="K101">
        <v>720</v>
      </c>
      <c r="L101">
        <v>800</v>
      </c>
      <c r="M101">
        <v>840</v>
      </c>
      <c r="N101" s="5">
        <v>30.8</v>
      </c>
      <c r="O101" s="90">
        <v>32.799999999999997</v>
      </c>
    </row>
    <row r="102" spans="10:28" x14ac:dyDescent="0.25">
      <c r="J102" s="91" t="s">
        <v>91</v>
      </c>
      <c r="K102">
        <v>1080</v>
      </c>
      <c r="L102">
        <v>790</v>
      </c>
      <c r="M102">
        <v>837</v>
      </c>
      <c r="N102" s="5">
        <v>28</v>
      </c>
      <c r="O102" s="90">
        <v>30.4</v>
      </c>
    </row>
    <row r="103" spans="10:28" x14ac:dyDescent="0.25">
      <c r="J103" s="89">
        <v>0.28472222222222221</v>
      </c>
      <c r="K103" s="3">
        <v>1440</v>
      </c>
      <c r="L103">
        <v>790</v>
      </c>
      <c r="M103">
        <v>830</v>
      </c>
      <c r="N103" s="5">
        <v>28.7</v>
      </c>
      <c r="O103" s="90">
        <v>29.6</v>
      </c>
    </row>
    <row r="104" spans="10:28" x14ac:dyDescent="0.25">
      <c r="J104" s="89">
        <v>0.53472222222222221</v>
      </c>
      <c r="K104" s="3">
        <v>1800</v>
      </c>
      <c r="L104">
        <v>800</v>
      </c>
      <c r="M104">
        <v>850</v>
      </c>
      <c r="N104" s="5">
        <v>35.299999999999997</v>
      </c>
      <c r="O104" s="90">
        <v>35.1</v>
      </c>
    </row>
    <row r="105" spans="10:28" x14ac:dyDescent="0.25">
      <c r="J105" s="89">
        <v>0.72222222222222221</v>
      </c>
      <c r="K105" s="3">
        <v>2058</v>
      </c>
      <c r="L105">
        <v>805</v>
      </c>
      <c r="M105">
        <v>840</v>
      </c>
      <c r="N105" s="5">
        <v>33.5</v>
      </c>
      <c r="O105" s="90">
        <v>33.9</v>
      </c>
    </row>
    <row r="106" spans="10:28" x14ac:dyDescent="0.25">
      <c r="J106" s="92"/>
    </row>
    <row r="107" spans="10:28" x14ac:dyDescent="0.25">
      <c r="K107" s="3" t="s">
        <v>92</v>
      </c>
      <c r="L107" s="4">
        <f>SUM(L99:L106)/7</f>
        <v>805</v>
      </c>
      <c r="M107" s="5">
        <f>SUM(M99:M106)/7</f>
        <v>839.57142857142856</v>
      </c>
      <c r="Q107" s="5"/>
    </row>
    <row r="109" spans="10:28" x14ac:dyDescent="0.25">
      <c r="K109" s="3" t="s">
        <v>93</v>
      </c>
      <c r="M109" s="5">
        <f>+M107</f>
        <v>839.57142857142856</v>
      </c>
      <c r="Q109" s="5"/>
      <c r="AB109">
        <f>1/1.6026</f>
        <v>0.62398602271309123</v>
      </c>
    </row>
    <row r="110" spans="10:28" x14ac:dyDescent="0.25">
      <c r="K110" s="93" t="s">
        <v>94</v>
      </c>
      <c r="L110" s="93"/>
      <c r="M110" s="94">
        <f>+(I3*1000/M109)/60</f>
        <v>10.239705291815552</v>
      </c>
      <c r="N110" t="s">
        <v>95</v>
      </c>
      <c r="Q110" s="95"/>
      <c r="AB110">
        <f>1/1.6069</f>
        <v>0.62231626112390315</v>
      </c>
    </row>
    <row r="116" spans="13:31" x14ac:dyDescent="0.25">
      <c r="AE116">
        <f>1/3.1812</f>
        <v>0.31434678737583299</v>
      </c>
    </row>
    <row r="118" spans="13:31" x14ac:dyDescent="0.25">
      <c r="M118" s="17"/>
    </row>
  </sheetData>
  <mergeCells count="1">
    <mergeCell ref="L9:M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112"/>
  <sheetViews>
    <sheetView topLeftCell="A127" workbookViewId="0">
      <selection activeCell="E8" sqref="E8"/>
    </sheetView>
  </sheetViews>
  <sheetFormatPr baseColWidth="10" defaultRowHeight="15" x14ac:dyDescent="0.25"/>
  <cols>
    <col min="6" max="6" width="12.42578125" bestFit="1" customWidth="1"/>
    <col min="8" max="8" width="12.42578125" customWidth="1"/>
    <col min="16" max="16" width="9.28515625" customWidth="1"/>
    <col min="17" max="17" width="11.42578125" style="8"/>
    <col min="21" max="24" width="8.140625" customWidth="1"/>
    <col min="25" max="25" width="8.28515625" customWidth="1"/>
    <col min="26" max="26" width="9.85546875" customWidth="1"/>
  </cols>
  <sheetData>
    <row r="2" spans="1:28" x14ac:dyDescent="0.25">
      <c r="A2" t="s">
        <v>20</v>
      </c>
      <c r="G2" t="s">
        <v>97</v>
      </c>
      <c r="M2" s="5">
        <f>(1.184*0.884*0.3)*1000-14.8</f>
        <v>299.1968</v>
      </c>
    </row>
    <row r="3" spans="1:28" x14ac:dyDescent="0.25">
      <c r="A3" s="3" t="s">
        <v>21</v>
      </c>
      <c r="G3" s="3" t="s">
        <v>98</v>
      </c>
      <c r="H3" s="3"/>
      <c r="K3" s="5">
        <f>(1.184*0.884*0.515)*1000-30.91</f>
        <v>508.11784000000006</v>
      </c>
    </row>
    <row r="4" spans="1:28" x14ac:dyDescent="0.25">
      <c r="A4" s="13" t="s">
        <v>23</v>
      </c>
      <c r="G4" t="s">
        <v>24</v>
      </c>
    </row>
    <row r="5" spans="1:28" x14ac:dyDescent="0.25">
      <c r="A5" s="3" t="s">
        <v>25</v>
      </c>
      <c r="G5" t="s">
        <v>26</v>
      </c>
    </row>
    <row r="6" spans="1:28" x14ac:dyDescent="0.25">
      <c r="A6" s="3" t="s">
        <v>27</v>
      </c>
      <c r="G6" s="3" t="s">
        <v>99</v>
      </c>
      <c r="H6" s="3"/>
      <c r="L6" s="15">
        <f>+(250*5000)/(M2*1000)</f>
        <v>4.1778521695419206</v>
      </c>
    </row>
    <row r="7" spans="1:28" x14ac:dyDescent="0.25">
      <c r="A7" s="3" t="s">
        <v>30</v>
      </c>
      <c r="C7" s="15">
        <f>+M2*1000/(L7*60)</f>
        <v>5.9394747887244064</v>
      </c>
      <c r="D7">
        <f>+C7*60</f>
        <v>356.36848732346436</v>
      </c>
      <c r="G7" s="3" t="s">
        <v>100</v>
      </c>
      <c r="H7" s="3"/>
      <c r="L7" s="5">
        <f>+O111</f>
        <v>839.57142857142856</v>
      </c>
    </row>
    <row r="9" spans="1:28" x14ac:dyDescent="0.25">
      <c r="A9" s="21" t="s">
        <v>32</v>
      </c>
      <c r="B9" s="22"/>
      <c r="C9" s="22"/>
      <c r="D9" s="22"/>
      <c r="E9" s="22"/>
      <c r="F9" s="96"/>
      <c r="G9" s="96"/>
      <c r="H9" s="96"/>
      <c r="I9" s="23" t="s">
        <v>33</v>
      </c>
      <c r="J9" s="24" t="s">
        <v>34</v>
      </c>
      <c r="K9" s="22"/>
      <c r="L9" s="22"/>
      <c r="M9" s="24" t="s">
        <v>34</v>
      </c>
      <c r="N9" s="165" t="s">
        <v>35</v>
      </c>
      <c r="O9" s="166"/>
      <c r="P9" s="167" t="s">
        <v>101</v>
      </c>
      <c r="Q9" s="168"/>
      <c r="R9" s="27" t="s">
        <v>37</v>
      </c>
      <c r="S9" s="28" t="s">
        <v>38</v>
      </c>
      <c r="T9" s="22" t="s">
        <v>39</v>
      </c>
      <c r="U9" s="28" t="s">
        <v>40</v>
      </c>
      <c r="V9" s="28" t="s">
        <v>41</v>
      </c>
      <c r="W9" s="28"/>
      <c r="X9" s="28"/>
      <c r="Y9" s="30"/>
    </row>
    <row r="10" spans="1:28" ht="15.75" x14ac:dyDescent="0.3">
      <c r="A10" s="31"/>
      <c r="B10" s="32" t="s">
        <v>42</v>
      </c>
      <c r="C10" s="32" t="s">
        <v>43</v>
      </c>
      <c r="D10" s="32" t="s">
        <v>44</v>
      </c>
      <c r="E10" s="32" t="s">
        <v>45</v>
      </c>
      <c r="F10" s="97" t="s">
        <v>102</v>
      </c>
      <c r="G10" s="33" t="s">
        <v>46</v>
      </c>
      <c r="H10" s="33" t="s">
        <v>103</v>
      </c>
      <c r="I10" s="32" t="s">
        <v>47</v>
      </c>
      <c r="J10" s="32" t="s">
        <v>48</v>
      </c>
      <c r="K10" s="32" t="s">
        <v>49</v>
      </c>
      <c r="L10" s="32" t="s">
        <v>50</v>
      </c>
      <c r="M10" s="32" t="s">
        <v>51</v>
      </c>
      <c r="N10" s="28" t="s">
        <v>52</v>
      </c>
      <c r="O10" s="34" t="s">
        <v>53</v>
      </c>
      <c r="P10" s="28" t="s">
        <v>54</v>
      </c>
      <c r="Q10" s="35" t="s">
        <v>104</v>
      </c>
      <c r="R10" s="27" t="s">
        <v>105</v>
      </c>
      <c r="S10" s="28" t="s">
        <v>57</v>
      </c>
      <c r="T10" s="32"/>
      <c r="U10" s="32"/>
      <c r="V10" s="32"/>
      <c r="W10" s="32" t="s">
        <v>58</v>
      </c>
      <c r="X10" s="32" t="s">
        <v>59</v>
      </c>
      <c r="AB10" t="s">
        <v>60</v>
      </c>
    </row>
    <row r="11" spans="1:28" ht="15.75" x14ac:dyDescent="0.3">
      <c r="A11" s="36"/>
      <c r="B11" s="37"/>
      <c r="C11" s="37"/>
      <c r="D11" s="37"/>
      <c r="E11" s="37"/>
      <c r="F11" s="38" t="s">
        <v>106</v>
      </c>
      <c r="G11" s="38" t="s">
        <v>63</v>
      </c>
      <c r="H11" s="38" t="s">
        <v>63</v>
      </c>
      <c r="I11" s="37" t="s">
        <v>64</v>
      </c>
      <c r="J11" s="37" t="s">
        <v>65</v>
      </c>
      <c r="K11" s="37" t="s">
        <v>66</v>
      </c>
      <c r="L11" s="37" t="s">
        <v>67</v>
      </c>
      <c r="M11" s="37" t="s">
        <v>65</v>
      </c>
      <c r="N11" s="33" t="s">
        <v>68</v>
      </c>
      <c r="O11" s="2" t="s">
        <v>61</v>
      </c>
      <c r="P11" s="38"/>
      <c r="Q11" s="39"/>
      <c r="R11" s="40"/>
      <c r="S11" s="38"/>
      <c r="T11" s="98"/>
      <c r="U11" s="98"/>
      <c r="V11" s="98"/>
      <c r="W11" s="98"/>
      <c r="X11" s="98"/>
      <c r="Y11" s="3"/>
      <c r="AB11" s="20" t="s">
        <v>69</v>
      </c>
    </row>
    <row r="12" spans="1:28" x14ac:dyDescent="0.25">
      <c r="A12" s="41">
        <v>0</v>
      </c>
      <c r="B12" s="42">
        <v>39601</v>
      </c>
      <c r="C12" s="43">
        <v>0.28472222222222221</v>
      </c>
      <c r="D12" s="44">
        <v>0</v>
      </c>
      <c r="E12" s="41">
        <v>0</v>
      </c>
      <c r="F12" s="41">
        <v>9.3556133750000004E-5</v>
      </c>
      <c r="G12" s="45">
        <f>+'[1]Con 10hP4'!E13</f>
        <v>0</v>
      </c>
      <c r="H12" s="99" t="e">
        <f>+((0.00125/0.2878)*(1/((4*3.1416*F12/0.275^4)*0.00085093^2*D12^3)^0.5)*EXP(-((1-(0.00085093*D12)/0.275)^2)/(4*F12*D12/0.275^2)))*1000</f>
        <v>#DIV/0!</v>
      </c>
      <c r="I12" s="46">
        <f>+G12*E12</f>
        <v>0</v>
      </c>
      <c r="J12" s="47">
        <f>+G12/I91</f>
        <v>0</v>
      </c>
      <c r="K12" s="48">
        <f>+I12/I91</f>
        <v>0</v>
      </c>
      <c r="L12" s="49">
        <f t="shared" ref="L12:L75" si="0">+D12*K12</f>
        <v>0</v>
      </c>
      <c r="M12" s="45">
        <f>+J12*1000</f>
        <v>0</v>
      </c>
      <c r="N12" s="51">
        <f>+D12/(5.939*60)</f>
        <v>0</v>
      </c>
      <c r="O12" s="51">
        <f>+G12/4.178</f>
        <v>0</v>
      </c>
      <c r="P12" s="51">
        <f>+(1/(2*SQRT(3.1416*0.2708))*EXP(-((1-N12)^2/(4*0.2708))))</f>
        <v>0.21534444344397197</v>
      </c>
      <c r="Q12" s="52">
        <f>+(1/(2*SQRT(3.1416*0.4545))*EXP(-((1-N12)^2/(4*0.4545))))</f>
        <v>0.2414024996615847</v>
      </c>
      <c r="R12" s="51" t="e">
        <f>+(1/(2*SQRT(3.1416*N12*0.1636))*EXP(-((1-N12)^2/(4*N12*0.1636))))</f>
        <v>#DIV/0!</v>
      </c>
      <c r="S12" s="50">
        <f>+(1.8461*(1.8461*N12)^(1.8461-1)/FACT(1.8461-1))*EXP(-1.8461*N12)</f>
        <v>0</v>
      </c>
      <c r="T12" s="100">
        <f>834/1000*G12*E12</f>
        <v>0</v>
      </c>
      <c r="U12" s="50">
        <f>+T12/(5000*0.25)*100</f>
        <v>0</v>
      </c>
      <c r="V12" s="50">
        <f>+V11+U12</f>
        <v>0</v>
      </c>
      <c r="W12" s="101">
        <f>+I12</f>
        <v>0</v>
      </c>
      <c r="X12" s="50">
        <f>+W12/1345.84*100</f>
        <v>0</v>
      </c>
      <c r="Y12" s="19"/>
      <c r="AB12" s="54">
        <f>1-X12/100</f>
        <v>1</v>
      </c>
    </row>
    <row r="13" spans="1:28" x14ac:dyDescent="0.25">
      <c r="A13" s="41">
        <v>1</v>
      </c>
      <c r="B13" s="42">
        <v>39601</v>
      </c>
      <c r="C13" s="43"/>
      <c r="D13" s="55">
        <v>5</v>
      </c>
      <c r="E13" s="56">
        <f>+D13-D12</f>
        <v>5</v>
      </c>
      <c r="F13" s="41">
        <v>9.3556133750000004E-5</v>
      </c>
      <c r="G13" s="45">
        <f>+'[1]Con 10hP4'!E14</f>
        <v>0</v>
      </c>
      <c r="H13" s="99">
        <f t="shared" ref="H13:H76" si="1">+((0.00125/0.2878)*(1/((4*3.1416*F13/0.275^4)*0.00085093^2*D13^3)^0.5)*EXP(-((1-(0.00085093*D13)/0.275)^2)/(4*F13*D13/0.275^2)))*1000</f>
        <v>9.7518472288823559E-15</v>
      </c>
      <c r="I13" s="47">
        <f>+G13*E13</f>
        <v>0</v>
      </c>
      <c r="J13" s="47">
        <f>+G13/I91</f>
        <v>0</v>
      </c>
      <c r="K13" s="48">
        <f>+I13/I91</f>
        <v>0</v>
      </c>
      <c r="L13" s="49">
        <f t="shared" si="0"/>
        <v>0</v>
      </c>
      <c r="M13" s="45">
        <f>+J13*1000</f>
        <v>0</v>
      </c>
      <c r="N13" s="51">
        <f t="shared" ref="N13:N76" si="2">+D13/(5.939*60)</f>
        <v>1.4031542908458212E-2</v>
      </c>
      <c r="O13" s="51">
        <f t="shared" ref="O13:O76" si="3">+G13/4.178</f>
        <v>0</v>
      </c>
      <c r="P13" s="51">
        <f t="shared" ref="P13:P76" si="4">+(1/(2*SQRT(3.1416*0.2708))*EXP(-((1-N13)^2/(4*0.2708))))</f>
        <v>0.22095622890063926</v>
      </c>
      <c r="Q13" s="52">
        <f t="shared" ref="Q13:Q76" si="5">+(1/(2*SQRT(3.1416*0.4545))*EXP(-((1-N13)^2/(4*0.4545))))</f>
        <v>0.24513120728882454</v>
      </c>
      <c r="R13" s="51">
        <f t="shared" ref="R13:R76" si="6">+(1/(2*SQRT(3.1416*N13*0.1636))*EXP(-((1-N13)^2/(4*N13*0.1636))))</f>
        <v>6.1762730654560602E-46</v>
      </c>
      <c r="S13" s="50">
        <f t="shared" ref="S13:S76" si="7">+(1.8461*(1.8461*N13)^(1.8461-1)/FACT(1.8461-1))*EXP(-1.8461*N13)</f>
        <v>8.1761690988058855E-2</v>
      </c>
      <c r="T13" s="100">
        <f>834/1000*G13*E13</f>
        <v>0</v>
      </c>
      <c r="U13" s="50">
        <f t="shared" ref="U13:U76" si="8">+T13/(5000*0.25)*100</f>
        <v>0</v>
      </c>
      <c r="V13" s="58">
        <f>+V12+U13</f>
        <v>0</v>
      </c>
      <c r="W13" s="101">
        <f>+W12+I13</f>
        <v>0</v>
      </c>
      <c r="X13" s="50">
        <f t="shared" ref="X13:X76" si="9">+W13/1345.84*100</f>
        <v>0</v>
      </c>
      <c r="Y13" s="19"/>
      <c r="AB13" s="54">
        <f t="shared" ref="AB13:AB76" si="10">1-X13/100</f>
        <v>1</v>
      </c>
    </row>
    <row r="14" spans="1:28" x14ac:dyDescent="0.25">
      <c r="A14" s="41">
        <v>2</v>
      </c>
      <c r="B14" s="42">
        <v>39601</v>
      </c>
      <c r="C14" s="43"/>
      <c r="D14" s="55">
        <v>10</v>
      </c>
      <c r="E14" s="56">
        <f t="shared" ref="E14:E77" si="11">+D14-D13</f>
        <v>5</v>
      </c>
      <c r="F14" s="41">
        <v>9.3556133750000004E-5</v>
      </c>
      <c r="G14" s="45">
        <f>+'[1]Con 10hP4'!E15</f>
        <v>0</v>
      </c>
      <c r="H14" s="99">
        <f t="shared" si="1"/>
        <v>2.0406156575519537E-6</v>
      </c>
      <c r="I14" s="57">
        <f t="shared" ref="I14:I77" si="12">+G14*E14</f>
        <v>0</v>
      </c>
      <c r="J14" s="57">
        <f>+G14/I91</f>
        <v>0</v>
      </c>
      <c r="K14" s="102">
        <f>+I14/I91</f>
        <v>0</v>
      </c>
      <c r="L14" s="50">
        <f t="shared" si="0"/>
        <v>0</v>
      </c>
      <c r="M14" s="58">
        <f>+J14*1000</f>
        <v>0</v>
      </c>
      <c r="N14" s="51">
        <f t="shared" si="2"/>
        <v>2.8063085816916425E-2</v>
      </c>
      <c r="O14" s="51">
        <f t="shared" si="3"/>
        <v>0</v>
      </c>
      <c r="P14" s="51">
        <f t="shared" si="4"/>
        <v>0.22663185419531068</v>
      </c>
      <c r="Q14" s="52">
        <f t="shared" si="5"/>
        <v>0.24886360033629282</v>
      </c>
      <c r="R14" s="51">
        <f t="shared" si="6"/>
        <v>1.9033040405104364E-22</v>
      </c>
      <c r="S14" s="50">
        <f t="shared" si="7"/>
        <v>0.14321929780988157</v>
      </c>
      <c r="T14" s="100">
        <f>834/1000*G14*E14</f>
        <v>0</v>
      </c>
      <c r="U14" s="50">
        <f t="shared" si="8"/>
        <v>0</v>
      </c>
      <c r="V14" s="58">
        <f t="shared" ref="V14:V77" si="13">+V13+U14</f>
        <v>0</v>
      </c>
      <c r="W14" s="101">
        <f t="shared" ref="W14:W77" si="14">+W13+I14</f>
        <v>0</v>
      </c>
      <c r="X14" s="50">
        <f t="shared" si="9"/>
        <v>0</v>
      </c>
      <c r="Y14" s="19"/>
      <c r="AB14" s="54">
        <f t="shared" si="10"/>
        <v>1</v>
      </c>
    </row>
    <row r="15" spans="1:28" x14ac:dyDescent="0.25">
      <c r="A15" s="41">
        <v>3</v>
      </c>
      <c r="B15" s="42">
        <v>39601</v>
      </c>
      <c r="C15" s="43"/>
      <c r="D15" s="55">
        <v>15</v>
      </c>
      <c r="E15" s="56">
        <f t="shared" si="11"/>
        <v>5</v>
      </c>
      <c r="F15" s="41">
        <v>9.3556133750000004E-5</v>
      </c>
      <c r="G15" s="45">
        <f>+'[1]Con 10hP4'!E16</f>
        <v>6.1403508771932375E-5</v>
      </c>
      <c r="H15" s="99">
        <f t="shared" si="1"/>
        <v>9.2660875193844856E-4</v>
      </c>
      <c r="I15" s="60">
        <f t="shared" si="12"/>
        <v>3.0701754385966187E-4</v>
      </c>
      <c r="J15" s="60">
        <f>+G15/I91</f>
        <v>4.562463944314144E-8</v>
      </c>
      <c r="K15" s="103">
        <f>+I15/I91</f>
        <v>2.2812319721570719E-7</v>
      </c>
      <c r="L15" s="61">
        <f t="shared" si="0"/>
        <v>3.4218479582356078E-6</v>
      </c>
      <c r="M15" s="59">
        <f t="shared" ref="M15:M78" si="15">+J15*1000</f>
        <v>4.5624639443141438E-5</v>
      </c>
      <c r="N15" s="51">
        <f t="shared" si="2"/>
        <v>4.2094628725374637E-2</v>
      </c>
      <c r="O15" s="51">
        <f t="shared" si="3"/>
        <v>1.4696866628035513E-5</v>
      </c>
      <c r="P15" s="51">
        <f t="shared" si="4"/>
        <v>0.23236878047827506</v>
      </c>
      <c r="Q15" s="52">
        <f t="shared" si="5"/>
        <v>0.25259810595605114</v>
      </c>
      <c r="R15" s="51">
        <f t="shared" si="6"/>
        <v>1.161502234942029E-14</v>
      </c>
      <c r="S15" s="50">
        <f t="shared" si="7"/>
        <v>0.19667200723521844</v>
      </c>
      <c r="T15" s="57">
        <f>839.6/1000*G15*E15</f>
        <v>2.5777192982457211E-4</v>
      </c>
      <c r="U15" s="50">
        <f t="shared" si="8"/>
        <v>2.0621754385965769E-5</v>
      </c>
      <c r="V15" s="58">
        <f t="shared" si="13"/>
        <v>2.0621754385965769E-5</v>
      </c>
      <c r="W15" s="101">
        <f t="shared" si="14"/>
        <v>3.0701754385966187E-4</v>
      </c>
      <c r="X15" s="50">
        <f t="shared" si="9"/>
        <v>2.2812336077071711E-5</v>
      </c>
      <c r="Y15" s="19"/>
      <c r="Z15" s="62"/>
      <c r="AB15" s="54">
        <f t="shared" si="10"/>
        <v>0.99999977187663924</v>
      </c>
    </row>
    <row r="16" spans="1:28" x14ac:dyDescent="0.25">
      <c r="A16" s="41">
        <v>4</v>
      </c>
      <c r="B16" s="42">
        <v>39601</v>
      </c>
      <c r="C16" s="43"/>
      <c r="D16" s="63">
        <v>20</v>
      </c>
      <c r="E16" s="56">
        <f t="shared" si="11"/>
        <v>5</v>
      </c>
      <c r="F16" s="41">
        <v>9.3556133750000004E-5</v>
      </c>
      <c r="G16" s="67">
        <f>+'[1]Con 10hP4'!E17</f>
        <v>0.36190350877192978</v>
      </c>
      <c r="H16" s="99">
        <f t="shared" si="1"/>
        <v>1.7299101741344986E-2</v>
      </c>
      <c r="I16" s="47">
        <f>+G16*E16</f>
        <v>1.8095175438596489</v>
      </c>
      <c r="J16" s="47">
        <f>+G16/I91</f>
        <v>2.6890510707222972E-4</v>
      </c>
      <c r="K16" s="48">
        <f>+I16/I91</f>
        <v>1.3445255353611485E-3</v>
      </c>
      <c r="L16" s="49">
        <f t="shared" si="0"/>
        <v>2.6890510707222971E-2</v>
      </c>
      <c r="M16" s="45">
        <f t="shared" si="15"/>
        <v>0.2689051070722297</v>
      </c>
      <c r="N16" s="51">
        <f t="shared" si="2"/>
        <v>5.612617163383285E-2</v>
      </c>
      <c r="O16" s="51">
        <f t="shared" si="3"/>
        <v>8.6621232353262273E-2</v>
      </c>
      <c r="P16" s="51">
        <f t="shared" si="4"/>
        <v>0.23816433647713173</v>
      </c>
      <c r="Q16" s="52">
        <f t="shared" si="5"/>
        <v>0.25633312614314513</v>
      </c>
      <c r="R16" s="51">
        <f t="shared" si="6"/>
        <v>8.6034650548100764E-11</v>
      </c>
      <c r="S16" s="50">
        <f t="shared" si="7"/>
        <v>0.2444575253647972</v>
      </c>
      <c r="T16" s="57">
        <f t="shared" ref="T16:T79" si="16">839.6/1000*G16*E16</f>
        <v>1.5192709298245612</v>
      </c>
      <c r="U16" s="50">
        <f t="shared" si="8"/>
        <v>0.1215416743859649</v>
      </c>
      <c r="V16" s="58">
        <f t="shared" si="13"/>
        <v>0.12156229614035087</v>
      </c>
      <c r="W16" s="101">
        <f t="shared" si="14"/>
        <v>1.8098245614035087</v>
      </c>
      <c r="X16" s="50">
        <f t="shared" si="9"/>
        <v>0.13447546226917825</v>
      </c>
      <c r="Y16" s="68">
        <f>+((([1]Resumen!O10-G15)*(D16-D15))/(G16-G15))+D15</f>
        <v>18.802266666666668</v>
      </c>
      <c r="Z16" s="69" t="s">
        <v>73</v>
      </c>
      <c r="AA16" s="66" t="s">
        <v>72</v>
      </c>
      <c r="AB16" s="54">
        <f t="shared" si="10"/>
        <v>0.99865524537730821</v>
      </c>
    </row>
    <row r="17" spans="1:28" x14ac:dyDescent="0.25">
      <c r="A17" s="41">
        <v>5</v>
      </c>
      <c r="B17" s="42">
        <v>39601</v>
      </c>
      <c r="C17" s="43"/>
      <c r="D17" s="55">
        <v>25</v>
      </c>
      <c r="E17" s="56">
        <f t="shared" si="11"/>
        <v>5</v>
      </c>
      <c r="F17" s="41">
        <v>9.3556133750000004E-5</v>
      </c>
      <c r="G17" s="67">
        <f>+'[1]Con 10hP4'!E18</f>
        <v>0.44962280701754381</v>
      </c>
      <c r="H17" s="48">
        <f t="shared" si="1"/>
        <v>9.2490913453818199E-2</v>
      </c>
      <c r="I17" s="57">
        <f t="shared" si="12"/>
        <v>2.2481140350877191</v>
      </c>
      <c r="J17" s="57">
        <f>+G17/I91</f>
        <v>3.3408316341957192E-4</v>
      </c>
      <c r="K17" s="102">
        <f>+I17/I91</f>
        <v>1.6704158170978596E-3</v>
      </c>
      <c r="L17" s="50">
        <f t="shared" si="0"/>
        <v>4.1760395427446487E-2</v>
      </c>
      <c r="M17" s="58">
        <f t="shared" si="15"/>
        <v>0.33408316341957189</v>
      </c>
      <c r="N17" s="51">
        <f t="shared" si="2"/>
        <v>7.0157714542291069E-2</v>
      </c>
      <c r="O17" s="51">
        <f t="shared" si="3"/>
        <v>0.10761675610759786</v>
      </c>
      <c r="P17" s="51">
        <f t="shared" si="4"/>
        <v>0.24401571907723171</v>
      </c>
      <c r="Q17" s="52">
        <f t="shared" si="5"/>
        <v>0.26006703875272974</v>
      </c>
      <c r="R17" s="51">
        <f t="shared" si="6"/>
        <v>1.7448865427473212E-8</v>
      </c>
      <c r="S17" s="50">
        <f t="shared" si="7"/>
        <v>0.28770616555778183</v>
      </c>
      <c r="T17" s="57">
        <f t="shared" si="16"/>
        <v>1.8875165438596488</v>
      </c>
      <c r="U17" s="50">
        <f t="shared" si="8"/>
        <v>0.15100132350877191</v>
      </c>
      <c r="V17" s="58">
        <f t="shared" si="13"/>
        <v>0.27256361964912279</v>
      </c>
      <c r="W17" s="101">
        <f t="shared" si="14"/>
        <v>4.057938596491228</v>
      </c>
      <c r="X17" s="50">
        <f t="shared" si="9"/>
        <v>0.301517163740952</v>
      </c>
      <c r="Y17" s="104"/>
      <c r="Z17" s="105"/>
      <c r="AA17" s="106"/>
      <c r="AB17" s="54">
        <f t="shared" si="10"/>
        <v>0.9969848283625905</v>
      </c>
    </row>
    <row r="18" spans="1:28" x14ac:dyDescent="0.25">
      <c r="A18" s="41">
        <v>6</v>
      </c>
      <c r="B18" s="42">
        <v>39601</v>
      </c>
      <c r="C18" s="43"/>
      <c r="D18" s="63">
        <v>30</v>
      </c>
      <c r="E18" s="56">
        <f t="shared" si="11"/>
        <v>5</v>
      </c>
      <c r="F18" s="41">
        <v>9.3556133750000004E-5</v>
      </c>
      <c r="G18" s="67">
        <f>+'[1]Con 10hP4'!E19</f>
        <v>0.94304385964912274</v>
      </c>
      <c r="H18" s="99">
        <f t="shared" si="1"/>
        <v>0.26805281501257749</v>
      </c>
      <c r="I18" s="47">
        <f t="shared" si="12"/>
        <v>4.7152192982456134</v>
      </c>
      <c r="J18" s="47">
        <f>+G18/I91</f>
        <v>7.007097303733718E-4</v>
      </c>
      <c r="K18" s="48">
        <f>+I18/I91</f>
        <v>3.5035486518668587E-3</v>
      </c>
      <c r="L18" s="49">
        <f t="shared" si="0"/>
        <v>0.10510645955600575</v>
      </c>
      <c r="M18" s="45">
        <f t="shared" si="15"/>
        <v>0.70070973037337181</v>
      </c>
      <c r="N18" s="51">
        <f t="shared" si="2"/>
        <v>8.4189257450749275E-2</v>
      </c>
      <c r="O18" s="51">
        <f t="shared" si="3"/>
        <v>0.22571657722573546</v>
      </c>
      <c r="P18" s="51">
        <f t="shared" si="4"/>
        <v>0.24991999415925709</v>
      </c>
      <c r="Q18" s="52">
        <f t="shared" si="5"/>
        <v>0.26379819855867603</v>
      </c>
      <c r="R18" s="51">
        <f t="shared" si="6"/>
        <v>5.8808271182729665E-7</v>
      </c>
      <c r="S18" s="50">
        <f t="shared" si="7"/>
        <v>0.32711059956389493</v>
      </c>
      <c r="T18" s="57">
        <f t="shared" si="16"/>
        <v>3.9588981228070175</v>
      </c>
      <c r="U18" s="50">
        <f t="shared" si="8"/>
        <v>0.31671184982456141</v>
      </c>
      <c r="V18" s="58">
        <f t="shared" si="13"/>
        <v>0.58927546947368414</v>
      </c>
      <c r="W18" s="101">
        <f t="shared" si="14"/>
        <v>8.7731578947368405</v>
      </c>
      <c r="X18" s="50">
        <f t="shared" si="9"/>
        <v>0.65187228011775855</v>
      </c>
      <c r="Y18" s="104"/>
      <c r="Z18" s="105"/>
      <c r="AA18" s="106"/>
      <c r="AB18" s="54">
        <f t="shared" si="10"/>
        <v>0.9934812771988224</v>
      </c>
    </row>
    <row r="19" spans="1:28" x14ac:dyDescent="0.25">
      <c r="A19" s="41">
        <v>7</v>
      </c>
      <c r="B19" s="42">
        <v>39601</v>
      </c>
      <c r="C19" s="43"/>
      <c r="D19" s="55">
        <v>35</v>
      </c>
      <c r="E19" s="56">
        <f t="shared" si="11"/>
        <v>5</v>
      </c>
      <c r="F19" s="41">
        <v>9.3556133750000004E-5</v>
      </c>
      <c r="G19" s="67">
        <f>+'[1]Con 10hP4'!E20</f>
        <v>1.2719912280701753</v>
      </c>
      <c r="H19" s="99">
        <f t="shared" si="1"/>
        <v>0.55147196530339637</v>
      </c>
      <c r="I19" s="47">
        <f t="shared" si="12"/>
        <v>6.3599561403508762</v>
      </c>
      <c r="J19" s="47">
        <f>+G19/I91</f>
        <v>9.4512744167590498E-4</v>
      </c>
      <c r="K19" s="48">
        <f>+I19/I91</f>
        <v>4.725637208379525E-3</v>
      </c>
      <c r="L19" s="49">
        <f t="shared" si="0"/>
        <v>0.16539730229328337</v>
      </c>
      <c r="M19" s="45">
        <f t="shared" si="15"/>
        <v>0.94512744167590501</v>
      </c>
      <c r="N19" s="51">
        <f t="shared" si="2"/>
        <v>9.8220800359207494E-2</v>
      </c>
      <c r="O19" s="51">
        <f t="shared" si="3"/>
        <v>0.30444979130449384</v>
      </c>
      <c r="P19" s="51">
        <f t="shared" si="4"/>
        <v>0.25587409769850211</v>
      </c>
      <c r="Q19" s="52">
        <f t="shared" si="5"/>
        <v>0.26752493835288776</v>
      </c>
      <c r="R19" s="51">
        <f t="shared" si="6"/>
        <v>7.124873685379355E-6</v>
      </c>
      <c r="S19" s="50">
        <f t="shared" si="7"/>
        <v>0.36315204289317365</v>
      </c>
      <c r="T19" s="57">
        <f t="shared" si="16"/>
        <v>5.3398191754385955</v>
      </c>
      <c r="U19" s="50">
        <f t="shared" si="8"/>
        <v>0.42718553403508763</v>
      </c>
      <c r="V19" s="58">
        <f t="shared" si="13"/>
        <v>1.0164610035087718</v>
      </c>
      <c r="W19" s="101">
        <f t="shared" si="14"/>
        <v>15.133114035087717</v>
      </c>
      <c r="X19" s="50">
        <f t="shared" si="9"/>
        <v>1.1244363397645869</v>
      </c>
      <c r="Y19" s="104"/>
      <c r="Z19" s="105"/>
      <c r="AA19" s="106"/>
      <c r="AB19" s="54">
        <f t="shared" si="10"/>
        <v>0.9887556366023541</v>
      </c>
    </row>
    <row r="20" spans="1:28" x14ac:dyDescent="0.25">
      <c r="A20" s="41">
        <v>8</v>
      </c>
      <c r="B20" s="42">
        <v>39601</v>
      </c>
      <c r="C20" s="43"/>
      <c r="D20" s="63">
        <v>40</v>
      </c>
      <c r="E20" s="56">
        <f t="shared" si="11"/>
        <v>5</v>
      </c>
      <c r="F20" s="41">
        <v>9.3556133750000004E-5</v>
      </c>
      <c r="G20" s="67">
        <f>+'[1]Con 10hP4'!E21</f>
        <v>1.293921052631579</v>
      </c>
      <c r="H20" s="99">
        <f t="shared" si="1"/>
        <v>0.91997827067205085</v>
      </c>
      <c r="I20" s="57">
        <f t="shared" si="12"/>
        <v>6.4696052631578951</v>
      </c>
      <c r="J20" s="57">
        <f>+G20/I91</f>
        <v>9.6142195576274072E-4</v>
      </c>
      <c r="K20" s="102">
        <f>+I20/I91</f>
        <v>4.807109778813704E-3</v>
      </c>
      <c r="L20" s="50">
        <f t="shared" si="0"/>
        <v>0.19228439115254817</v>
      </c>
      <c r="M20" s="58">
        <f t="shared" si="15"/>
        <v>0.9614219557627407</v>
      </c>
      <c r="N20" s="51">
        <f t="shared" si="2"/>
        <v>0.1122523432676657</v>
      </c>
      <c r="O20" s="51">
        <f t="shared" si="3"/>
        <v>0.30969867224307779</v>
      </c>
      <c r="P20" s="51">
        <f t="shared" si="4"/>
        <v>0.26187483712985837</v>
      </c>
      <c r="Q20" s="52">
        <f t="shared" si="5"/>
        <v>0.27124557008448147</v>
      </c>
      <c r="R20" s="51">
        <f t="shared" si="6"/>
        <v>4.5610233005178966E-5</v>
      </c>
      <c r="S20" s="50">
        <f t="shared" si="7"/>
        <v>0.39619197433257713</v>
      </c>
      <c r="T20" s="57">
        <f t="shared" si="16"/>
        <v>5.4318805789473688</v>
      </c>
      <c r="U20" s="50">
        <f t="shared" si="8"/>
        <v>0.43455044631578948</v>
      </c>
      <c r="V20" s="58">
        <f t="shared" si="13"/>
        <v>1.4510114498245612</v>
      </c>
      <c r="W20" s="101">
        <f t="shared" si="14"/>
        <v>21.60271929824561</v>
      </c>
      <c r="X20" s="50">
        <f t="shared" si="9"/>
        <v>1.6051476622960834</v>
      </c>
      <c r="Y20" s="104"/>
      <c r="Z20" s="106"/>
      <c r="AA20" s="106"/>
      <c r="AB20" s="54">
        <f t="shared" si="10"/>
        <v>0.9839485233770392</v>
      </c>
    </row>
    <row r="21" spans="1:28" x14ac:dyDescent="0.25">
      <c r="A21" s="41">
        <v>9</v>
      </c>
      <c r="B21" s="42">
        <v>39601</v>
      </c>
      <c r="C21" s="43"/>
      <c r="D21" s="55">
        <v>45</v>
      </c>
      <c r="E21" s="56">
        <f t="shared" si="11"/>
        <v>5</v>
      </c>
      <c r="F21" s="41">
        <v>9.3556133750000004E-5</v>
      </c>
      <c r="G21" s="72">
        <f>+'[1]Con 10hP4'!E22</f>
        <v>1.4255000000000002</v>
      </c>
      <c r="H21" s="99">
        <f t="shared" si="1"/>
        <v>1.3385564860426633</v>
      </c>
      <c r="I21" s="47">
        <f t="shared" si="12"/>
        <v>7.1275000000000013</v>
      </c>
      <c r="J21" s="47">
        <f>+G21/I91</f>
        <v>1.0591890402837541E-3</v>
      </c>
      <c r="K21" s="48">
        <f>+I21/I91</f>
        <v>5.2959452014187712E-3</v>
      </c>
      <c r="L21" s="49">
        <f t="shared" si="0"/>
        <v>0.2383175340638447</v>
      </c>
      <c r="M21" s="45">
        <f t="shared" si="15"/>
        <v>1.059189040283754</v>
      </c>
      <c r="N21" s="51">
        <f t="shared" si="2"/>
        <v>0.12628388617612391</v>
      </c>
      <c r="O21" s="51">
        <f t="shared" si="3"/>
        <v>0.34119195787458118</v>
      </c>
      <c r="P21" s="51">
        <f t="shared" si="4"/>
        <v>0.26791889298192073</v>
      </c>
      <c r="Q21" s="52">
        <f t="shared" si="5"/>
        <v>0.27495838603791223</v>
      </c>
      <c r="R21" s="51">
        <f t="shared" si="6"/>
        <v>1.9102040156512967E-4</v>
      </c>
      <c r="S21" s="50">
        <f t="shared" si="7"/>
        <v>0.42651667887594402</v>
      </c>
      <c r="T21" s="57">
        <f t="shared" si="16"/>
        <v>5.9842490000000019</v>
      </c>
      <c r="U21" s="50">
        <f t="shared" si="8"/>
        <v>0.47873992000000015</v>
      </c>
      <c r="V21" s="58">
        <f t="shared" si="13"/>
        <v>1.9297513698245614</v>
      </c>
      <c r="W21" s="101">
        <f t="shared" si="14"/>
        <v>28.730219298245611</v>
      </c>
      <c r="X21" s="50">
        <f t="shared" si="9"/>
        <v>2.1347425621355889</v>
      </c>
      <c r="Y21" s="73">
        <f>+((([1]Resumen!N10-G20)*(D21-D20))/(G21-G20))+D20</f>
        <v>43.12383333333333</v>
      </c>
      <c r="Z21" s="74" t="s">
        <v>74</v>
      </c>
      <c r="AA21" s="106"/>
      <c r="AB21" s="54">
        <f t="shared" si="10"/>
        <v>0.97865257437864406</v>
      </c>
    </row>
    <row r="22" spans="1:28" x14ac:dyDescent="0.25">
      <c r="A22" s="41">
        <v>10</v>
      </c>
      <c r="B22" s="42">
        <v>39601</v>
      </c>
      <c r="C22" s="43"/>
      <c r="D22" s="55">
        <v>50</v>
      </c>
      <c r="E22" s="56">
        <f t="shared" si="11"/>
        <v>5</v>
      </c>
      <c r="F22" s="41">
        <v>9.3556133750000004E-5</v>
      </c>
      <c r="G22" s="72">
        <f>+'[1]Con 10hP4'!E23</f>
        <v>1.4035701754385967</v>
      </c>
      <c r="H22" s="99">
        <f t="shared" si="1"/>
        <v>1.7734971300150819</v>
      </c>
      <c r="I22" s="47">
        <f t="shared" si="12"/>
        <v>7.0178508771929842</v>
      </c>
      <c r="J22" s="47">
        <f>+G22/I91</f>
        <v>1.0428945261969187E-3</v>
      </c>
      <c r="K22" s="48">
        <f>+I22/I91</f>
        <v>5.2144726309845931E-3</v>
      </c>
      <c r="L22" s="49">
        <f t="shared" si="0"/>
        <v>0.26072363154922967</v>
      </c>
      <c r="M22" s="45">
        <f t="shared" si="15"/>
        <v>1.0428945261969187</v>
      </c>
      <c r="N22" s="51">
        <f t="shared" si="2"/>
        <v>0.14031542908458214</v>
      </c>
      <c r="O22" s="51">
        <f t="shared" si="3"/>
        <v>0.33594307693599729</v>
      </c>
      <c r="P22" s="51">
        <f t="shared" si="4"/>
        <v>0.27400282078301774</v>
      </c>
      <c r="Q22" s="52">
        <f t="shared" si="5"/>
        <v>0.27866166004905241</v>
      </c>
      <c r="R22" s="51">
        <f t="shared" si="6"/>
        <v>5.948583645089356E-4</v>
      </c>
      <c r="S22" s="50">
        <f t="shared" si="7"/>
        <v>0.45436160758763083</v>
      </c>
      <c r="T22" s="57">
        <f t="shared" si="16"/>
        <v>5.8921875964912296</v>
      </c>
      <c r="U22" s="50">
        <f t="shared" si="8"/>
        <v>0.47137500771929841</v>
      </c>
      <c r="V22" s="58">
        <f t="shared" si="13"/>
        <v>2.4011263775438598</v>
      </c>
      <c r="W22" s="101">
        <f t="shared" si="14"/>
        <v>35.748070175438599</v>
      </c>
      <c r="X22" s="50">
        <f t="shared" si="9"/>
        <v>2.6561901990904269</v>
      </c>
      <c r="Y22" s="77"/>
      <c r="Z22" s="105"/>
      <c r="AA22" s="106"/>
      <c r="AB22" s="54">
        <f t="shared" si="10"/>
        <v>0.97343809800909575</v>
      </c>
    </row>
    <row r="23" spans="1:28" x14ac:dyDescent="0.25">
      <c r="A23" s="41">
        <v>11</v>
      </c>
      <c r="B23" s="42">
        <v>39601</v>
      </c>
      <c r="C23" s="43"/>
      <c r="D23" s="63">
        <v>55</v>
      </c>
      <c r="E23" s="56">
        <f t="shared" si="11"/>
        <v>5</v>
      </c>
      <c r="F23" s="41">
        <v>9.3556133750000004E-5</v>
      </c>
      <c r="G23" s="72">
        <f>+'[1]Con 10hP4'!E24</f>
        <v>1.3158508771929824</v>
      </c>
      <c r="H23" s="99">
        <f t="shared" si="1"/>
        <v>2.1984226960612787</v>
      </c>
      <c r="I23" s="47">
        <f t="shared" si="12"/>
        <v>6.5792543859649122</v>
      </c>
      <c r="J23" s="47">
        <f>+G23/I91</f>
        <v>9.7771646984957613E-4</v>
      </c>
      <c r="K23" s="48">
        <f>+I23/I91</f>
        <v>4.8885823492478813E-3</v>
      </c>
      <c r="L23" s="49">
        <f t="shared" si="0"/>
        <v>0.26887202920863346</v>
      </c>
      <c r="M23" s="45">
        <f t="shared" si="15"/>
        <v>0.97771646984957616</v>
      </c>
      <c r="N23" s="51">
        <f t="shared" si="2"/>
        <v>0.15434697199304034</v>
      </c>
      <c r="O23" s="51">
        <f t="shared" si="3"/>
        <v>0.31494755318166168</v>
      </c>
      <c r="P23" s="51">
        <f t="shared" si="4"/>
        <v>0.28012305324134013</v>
      </c>
      <c r="Q23" s="52">
        <f t="shared" si="5"/>
        <v>0.28235364875816138</v>
      </c>
      <c r="R23" s="51">
        <f t="shared" si="6"/>
        <v>1.4941006686064061E-3</v>
      </c>
      <c r="S23" s="50">
        <f t="shared" si="7"/>
        <v>0.47992588477557674</v>
      </c>
      <c r="T23" s="57">
        <f t="shared" si="16"/>
        <v>5.5239419824561411</v>
      </c>
      <c r="U23" s="50">
        <f t="shared" si="8"/>
        <v>0.44191535859649134</v>
      </c>
      <c r="V23" s="58">
        <f t="shared" si="13"/>
        <v>2.8430417361403513</v>
      </c>
      <c r="W23" s="101">
        <f t="shared" si="14"/>
        <v>42.327324561403515</v>
      </c>
      <c r="X23" s="50">
        <f t="shared" si="9"/>
        <v>3.1450487845065918</v>
      </c>
      <c r="Y23" s="77"/>
      <c r="Z23" s="105"/>
      <c r="AA23" s="106"/>
      <c r="AB23" s="54">
        <f t="shared" si="10"/>
        <v>0.96854951215493412</v>
      </c>
    </row>
    <row r="24" spans="1:28" x14ac:dyDescent="0.25">
      <c r="A24" s="41">
        <v>12</v>
      </c>
      <c r="B24" s="42">
        <v>39601</v>
      </c>
      <c r="C24" s="43"/>
      <c r="D24" s="55">
        <v>60</v>
      </c>
      <c r="E24" s="56">
        <f t="shared" si="11"/>
        <v>5</v>
      </c>
      <c r="F24" s="41">
        <v>9.3556133750000004E-5</v>
      </c>
      <c r="G24" s="72">
        <f>+'[1]Con 10hP4'!E25</f>
        <v>1.5680438596491229</v>
      </c>
      <c r="H24" s="99">
        <f t="shared" si="1"/>
        <v>2.5953915095876154</v>
      </c>
      <c r="I24" s="47">
        <f t="shared" si="12"/>
        <v>7.8402192982456143</v>
      </c>
      <c r="J24" s="47">
        <f>+G24/I91</f>
        <v>1.165103381848185E-3</v>
      </c>
      <c r="K24" s="48">
        <f>+I24/I91</f>
        <v>5.8255169092409258E-3</v>
      </c>
      <c r="L24" s="49">
        <f t="shared" si="0"/>
        <v>0.34953101455445557</v>
      </c>
      <c r="M24" s="45">
        <f t="shared" si="15"/>
        <v>1.1651033818481851</v>
      </c>
      <c r="N24" s="51">
        <f t="shared" si="2"/>
        <v>0.16837851490149855</v>
      </c>
      <c r="O24" s="51">
        <f t="shared" si="3"/>
        <v>0.37530968397537645</v>
      </c>
      <c r="P24" s="51">
        <f t="shared" si="4"/>
        <v>0.28627590270068309</v>
      </c>
      <c r="Q24" s="52">
        <f t="shared" si="5"/>
        <v>0.28603259289861149</v>
      </c>
      <c r="R24" s="51">
        <f t="shared" si="6"/>
        <v>3.1951095906148394E-3</v>
      </c>
      <c r="S24" s="50">
        <f t="shared" si="7"/>
        <v>0.50338152418419713</v>
      </c>
      <c r="T24" s="57">
        <f t="shared" si="16"/>
        <v>6.5826481228070177</v>
      </c>
      <c r="U24" s="50">
        <f t="shared" si="8"/>
        <v>0.52661184982456144</v>
      </c>
      <c r="V24" s="58">
        <f t="shared" si="13"/>
        <v>3.3696535859649126</v>
      </c>
      <c r="W24" s="101">
        <f t="shared" si="14"/>
        <v>50.167543859649129</v>
      </c>
      <c r="X24" s="50">
        <f t="shared" si="9"/>
        <v>3.7276008930964402</v>
      </c>
      <c r="Y24" s="77"/>
      <c r="Z24" s="105"/>
      <c r="AA24" s="106"/>
      <c r="AB24" s="54">
        <f t="shared" si="10"/>
        <v>0.96272399106903561</v>
      </c>
    </row>
    <row r="25" spans="1:28" x14ac:dyDescent="0.25">
      <c r="A25" s="41">
        <v>13</v>
      </c>
      <c r="B25" s="42">
        <v>39601</v>
      </c>
      <c r="C25" s="43"/>
      <c r="D25" s="63">
        <v>70</v>
      </c>
      <c r="E25" s="56">
        <f t="shared" si="11"/>
        <v>10</v>
      </c>
      <c r="F25" s="41">
        <v>9.3556133750000004E-5</v>
      </c>
      <c r="G25" s="72">
        <f>+'[1]Con 10hP4'!E26</f>
        <v>0.80049999999999999</v>
      </c>
      <c r="H25" s="99">
        <f t="shared" si="1"/>
        <v>3.2684511099096571</v>
      </c>
      <c r="I25" s="57">
        <f t="shared" si="12"/>
        <v>8.004999999999999</v>
      </c>
      <c r="J25" s="57">
        <f>+G25/I91</f>
        <v>5.9479538880894073E-4</v>
      </c>
      <c r="K25" s="102">
        <f>+I25/I91</f>
        <v>5.9479538880894073E-3</v>
      </c>
      <c r="L25" s="50">
        <f t="shared" si="0"/>
        <v>0.41635677216625849</v>
      </c>
      <c r="M25" s="58">
        <f t="shared" si="15"/>
        <v>0.59479538880894078</v>
      </c>
      <c r="N25" s="51">
        <f t="shared" si="2"/>
        <v>0.19644160071841499</v>
      </c>
      <c r="O25" s="51">
        <f t="shared" si="3"/>
        <v>0.19159885112494016</v>
      </c>
      <c r="P25" s="51">
        <f t="shared" si="4"/>
        <v>0.29866411684543775</v>
      </c>
      <c r="Q25" s="52">
        <f t="shared" si="5"/>
        <v>0.29334423884553695</v>
      </c>
      <c r="R25" s="51">
        <f t="shared" si="6"/>
        <v>1.0362160811442277E-2</v>
      </c>
      <c r="S25" s="50">
        <f t="shared" si="7"/>
        <v>0.54455448815799357</v>
      </c>
      <c r="T25" s="57">
        <f t="shared" si="16"/>
        <v>6.7209979999999998</v>
      </c>
      <c r="U25" s="50">
        <f t="shared" si="8"/>
        <v>0.53767983999999991</v>
      </c>
      <c r="V25" s="58">
        <f t="shared" si="13"/>
        <v>3.9073334259649126</v>
      </c>
      <c r="W25" s="101">
        <f t="shared" si="14"/>
        <v>58.172543859649124</v>
      </c>
      <c r="X25" s="50">
        <f t="shared" si="9"/>
        <v>4.3223967083493671</v>
      </c>
      <c r="Y25" s="77"/>
      <c r="Z25" s="105"/>
      <c r="AA25" s="106"/>
      <c r="AB25" s="54">
        <f t="shared" si="10"/>
        <v>0.95677603291650637</v>
      </c>
    </row>
    <row r="26" spans="1:28" x14ac:dyDescent="0.25">
      <c r="A26" s="41">
        <v>14</v>
      </c>
      <c r="B26" s="42">
        <v>39601</v>
      </c>
      <c r="C26" s="43"/>
      <c r="D26" s="55">
        <v>80</v>
      </c>
      <c r="E26" s="56">
        <f t="shared" si="11"/>
        <v>10</v>
      </c>
      <c r="F26" s="41">
        <v>9.3556133750000004E-5</v>
      </c>
      <c r="G26" s="72">
        <f>+'[1]Con 10hP4'!E27</f>
        <v>1.2719912280701753</v>
      </c>
      <c r="H26" s="99">
        <f t="shared" si="1"/>
        <v>3.7642006917185244</v>
      </c>
      <c r="I26" s="57">
        <f t="shared" si="12"/>
        <v>12.719912280701752</v>
      </c>
      <c r="J26" s="57">
        <f>+G26/I91</f>
        <v>9.4512744167590498E-4</v>
      </c>
      <c r="K26" s="102">
        <f>+I26/I91</f>
        <v>9.45127441675905E-3</v>
      </c>
      <c r="L26" s="50">
        <f t="shared" si="0"/>
        <v>0.75610195334072405</v>
      </c>
      <c r="M26" s="58">
        <f t="shared" si="15"/>
        <v>0.94512744167590501</v>
      </c>
      <c r="N26" s="51">
        <f t="shared" si="2"/>
        <v>0.2245046865353314</v>
      </c>
      <c r="O26" s="51">
        <f t="shared" si="3"/>
        <v>0.30444979130449384</v>
      </c>
      <c r="P26" s="51">
        <f t="shared" si="4"/>
        <v>0.31113566541332394</v>
      </c>
      <c r="Q26" s="52">
        <f t="shared" si="5"/>
        <v>0.30058225672482963</v>
      </c>
      <c r="R26" s="51">
        <f t="shared" si="6"/>
        <v>2.4554256593496696E-2</v>
      </c>
      <c r="S26" s="50">
        <f t="shared" si="7"/>
        <v>0.57890689180693289</v>
      </c>
      <c r="T26" s="57">
        <f t="shared" si="16"/>
        <v>10.679638350877191</v>
      </c>
      <c r="U26" s="50">
        <f t="shared" si="8"/>
        <v>0.85437106807017527</v>
      </c>
      <c r="V26" s="58">
        <f t="shared" si="13"/>
        <v>4.7617044940350883</v>
      </c>
      <c r="W26" s="101">
        <f t="shared" si="14"/>
        <v>70.892456140350873</v>
      </c>
      <c r="X26" s="50">
        <f t="shared" si="9"/>
        <v>5.2675248276430242</v>
      </c>
      <c r="Y26" s="77"/>
      <c r="Z26" s="105"/>
      <c r="AA26" s="106"/>
      <c r="AB26" s="54">
        <f t="shared" si="10"/>
        <v>0.94732475172356978</v>
      </c>
    </row>
    <row r="27" spans="1:28" x14ac:dyDescent="0.25">
      <c r="A27" s="41">
        <v>15</v>
      </c>
      <c r="B27" s="42">
        <v>39601</v>
      </c>
      <c r="C27" s="43"/>
      <c r="D27" s="63">
        <v>90</v>
      </c>
      <c r="E27" s="56">
        <f t="shared" si="11"/>
        <v>10</v>
      </c>
      <c r="F27" s="41">
        <v>9.3556133750000004E-5</v>
      </c>
      <c r="G27" s="72">
        <f>+'[1]Con 10hP4'!E28</f>
        <v>1.1294473684210526</v>
      </c>
      <c r="H27" s="99">
        <f t="shared" si="1"/>
        <v>4.0967137271039249</v>
      </c>
      <c r="I27" s="47">
        <f t="shared" si="12"/>
        <v>11.294473684210526</v>
      </c>
      <c r="J27" s="47">
        <f>+G27/I91</f>
        <v>8.3921310011147402E-4</v>
      </c>
      <c r="K27" s="48">
        <f>+I27/I91</f>
        <v>8.3921310011147408E-3</v>
      </c>
      <c r="L27" s="49">
        <f t="shared" si="0"/>
        <v>0.75529179010032665</v>
      </c>
      <c r="M27" s="45">
        <f t="shared" si="15"/>
        <v>0.83921310011147399</v>
      </c>
      <c r="N27" s="51">
        <f t="shared" si="2"/>
        <v>0.25256777235224781</v>
      </c>
      <c r="O27" s="51">
        <f t="shared" si="3"/>
        <v>0.27033206520369857</v>
      </c>
      <c r="P27" s="51">
        <f t="shared" si="4"/>
        <v>0.32365702831926652</v>
      </c>
      <c r="Q27" s="52">
        <f t="shared" si="5"/>
        <v>0.30773213889150314</v>
      </c>
      <c r="R27" s="51">
        <f t="shared" si="6"/>
        <v>4.7247548417393453E-2</v>
      </c>
      <c r="S27" s="50">
        <f t="shared" si="7"/>
        <v>0.60728039476373208</v>
      </c>
      <c r="T27" s="57">
        <f t="shared" si="16"/>
        <v>9.4828401052631577</v>
      </c>
      <c r="U27" s="50">
        <f t="shared" si="8"/>
        <v>0.75862720842105269</v>
      </c>
      <c r="V27" s="58">
        <f t="shared" si="13"/>
        <v>5.5203317024561409</v>
      </c>
      <c r="W27" s="101">
        <f t="shared" si="14"/>
        <v>82.186929824561403</v>
      </c>
      <c r="X27" s="50">
        <f t="shared" si="9"/>
        <v>6.1067385294359964</v>
      </c>
      <c r="Y27" s="77"/>
      <c r="Z27" s="105"/>
      <c r="AA27" s="106"/>
      <c r="AB27" s="54">
        <f t="shared" si="10"/>
        <v>0.93893261470564005</v>
      </c>
    </row>
    <row r="28" spans="1:28" x14ac:dyDescent="0.25">
      <c r="A28" s="41">
        <v>16</v>
      </c>
      <c r="B28" s="42">
        <v>39601</v>
      </c>
      <c r="C28" s="43"/>
      <c r="D28" s="55">
        <v>100</v>
      </c>
      <c r="E28" s="56">
        <f t="shared" si="11"/>
        <v>10</v>
      </c>
      <c r="F28" s="41">
        <v>9.3556133750000004E-5</v>
      </c>
      <c r="G28" s="72">
        <f>+'[1]Con 10hP4'!E29</f>
        <v>1.8640964912280702</v>
      </c>
      <c r="H28" s="99">
        <f t="shared" si="1"/>
        <v>4.2944946395356434</v>
      </c>
      <c r="I28" s="57">
        <f t="shared" si="12"/>
        <v>18.640964912280701</v>
      </c>
      <c r="J28" s="57">
        <f>+G28/I91</f>
        <v>1.385079322020465E-3</v>
      </c>
      <c r="K28" s="102">
        <f>+I28/I91</f>
        <v>1.385079322020465E-2</v>
      </c>
      <c r="L28" s="50">
        <f t="shared" si="0"/>
        <v>1.3850793220204649</v>
      </c>
      <c r="M28" s="58">
        <f t="shared" si="15"/>
        <v>1.3850793220204649</v>
      </c>
      <c r="N28" s="51">
        <f t="shared" si="2"/>
        <v>0.28063085816916428</v>
      </c>
      <c r="O28" s="51">
        <f t="shared" si="3"/>
        <v>0.446169576646259</v>
      </c>
      <c r="P28" s="51">
        <f t="shared" si="4"/>
        <v>0.33619309010337739</v>
      </c>
      <c r="Q28" s="52">
        <f t="shared" si="5"/>
        <v>0.31477925797490897</v>
      </c>
      <c r="R28" s="51">
        <f t="shared" si="6"/>
        <v>7.8639130625539608E-2</v>
      </c>
      <c r="S28" s="50">
        <f t="shared" si="7"/>
        <v>0.63038383094434614</v>
      </c>
      <c r="T28" s="57">
        <f t="shared" si="16"/>
        <v>15.650954140350876</v>
      </c>
      <c r="U28" s="50">
        <f t="shared" si="8"/>
        <v>1.25207633122807</v>
      </c>
      <c r="V28" s="58">
        <f t="shared" si="13"/>
        <v>6.7724080336842114</v>
      </c>
      <c r="W28" s="101">
        <f t="shared" si="14"/>
        <v>100.8278947368421</v>
      </c>
      <c r="X28" s="50">
        <f t="shared" si="9"/>
        <v>7.4918188445017311</v>
      </c>
      <c r="Y28" s="77"/>
      <c r="Z28" s="105"/>
      <c r="AA28" s="106"/>
      <c r="AB28" s="54">
        <f t="shared" si="10"/>
        <v>0.9250818115549827</v>
      </c>
    </row>
    <row r="29" spans="1:28" x14ac:dyDescent="0.25">
      <c r="A29" s="41">
        <v>17</v>
      </c>
      <c r="B29" s="42">
        <v>39601</v>
      </c>
      <c r="C29" s="43"/>
      <c r="D29" s="63">
        <v>110</v>
      </c>
      <c r="E29" s="56">
        <f t="shared" si="11"/>
        <v>10</v>
      </c>
      <c r="F29" s="41">
        <v>9.3556133750000004E-5</v>
      </c>
      <c r="G29" s="72">
        <f>+'[1]Con 10hP4'!E30</f>
        <v>1.9298859649122806</v>
      </c>
      <c r="H29" s="99">
        <f t="shared" si="1"/>
        <v>4.3873832997369355</v>
      </c>
      <c r="I29" s="57">
        <f t="shared" si="12"/>
        <v>19.298859649122807</v>
      </c>
      <c r="J29" s="57">
        <f>+G29/I91</f>
        <v>1.4339628642809717E-3</v>
      </c>
      <c r="K29" s="102">
        <f>+I29/I91</f>
        <v>1.4339628642809717E-2</v>
      </c>
      <c r="L29" s="50">
        <f t="shared" si="0"/>
        <v>1.577359150709069</v>
      </c>
      <c r="M29" s="58">
        <f t="shared" si="15"/>
        <v>1.4339628642809716</v>
      </c>
      <c r="N29" s="51">
        <f t="shared" si="2"/>
        <v>0.30869394398608069</v>
      </c>
      <c r="O29" s="51">
        <f t="shared" si="3"/>
        <v>0.46191621946201067</v>
      </c>
      <c r="P29" s="51">
        <f t="shared" si="4"/>
        <v>0.34870728385669009</v>
      </c>
      <c r="Q29" s="52">
        <f t="shared" si="5"/>
        <v>0.32170891528999951</v>
      </c>
      <c r="R29" s="51">
        <f t="shared" si="6"/>
        <v>0.11784348135163009</v>
      </c>
      <c r="S29" s="50">
        <f t="shared" si="7"/>
        <v>0.64882534712361806</v>
      </c>
      <c r="T29" s="57">
        <f t="shared" si="16"/>
        <v>16.203322561403507</v>
      </c>
      <c r="U29" s="50">
        <f t="shared" si="8"/>
        <v>1.2962658049122804</v>
      </c>
      <c r="V29" s="58">
        <f t="shared" si="13"/>
        <v>8.0686738385964922</v>
      </c>
      <c r="W29" s="101">
        <f t="shared" si="14"/>
        <v>120.1267543859649</v>
      </c>
      <c r="X29" s="50">
        <f t="shared" si="9"/>
        <v>8.9257827368754761</v>
      </c>
      <c r="Y29" s="77"/>
      <c r="Z29" s="107"/>
      <c r="AA29" s="106"/>
      <c r="AB29" s="54">
        <f t="shared" si="10"/>
        <v>0.91074217263124524</v>
      </c>
    </row>
    <row r="30" spans="1:28" x14ac:dyDescent="0.25">
      <c r="A30" s="41">
        <v>18</v>
      </c>
      <c r="B30" s="42">
        <v>39601</v>
      </c>
      <c r="C30" s="43"/>
      <c r="D30" s="55">
        <v>120</v>
      </c>
      <c r="E30" s="56">
        <f t="shared" si="11"/>
        <v>10</v>
      </c>
      <c r="F30" s="41">
        <v>9.3556133750000004E-5</v>
      </c>
      <c r="G30" s="72">
        <f>+'[1]Con 10hP4'!E31</f>
        <v>2.4452368421052633</v>
      </c>
      <c r="H30" s="99">
        <f t="shared" si="1"/>
        <v>4.4015705739756861</v>
      </c>
      <c r="I30" s="108">
        <f t="shared" si="12"/>
        <v>24.452368421052633</v>
      </c>
      <c r="J30" s="108">
        <f>+G30/I91</f>
        <v>1.8168839453216073E-3</v>
      </c>
      <c r="K30" s="109">
        <f>+I30/I91</f>
        <v>1.8168839453216071E-2</v>
      </c>
      <c r="L30" s="110">
        <f t="shared" si="0"/>
        <v>2.1802607343859286</v>
      </c>
      <c r="M30" s="111">
        <f t="shared" si="15"/>
        <v>1.8168839453216072</v>
      </c>
      <c r="N30" s="51">
        <f t="shared" si="2"/>
        <v>0.3367570298029971</v>
      </c>
      <c r="O30" s="51">
        <f t="shared" si="3"/>
        <v>0.58526492151873222</v>
      </c>
      <c r="P30" s="51">
        <f t="shared" si="4"/>
        <v>0.36116175157199248</v>
      </c>
      <c r="Q30" s="52">
        <f t="shared" si="5"/>
        <v>0.32850639069052884</v>
      </c>
      <c r="R30" s="51">
        <f t="shared" si="6"/>
        <v>0.16328386101774472</v>
      </c>
      <c r="S30" s="50">
        <f t="shared" si="7"/>
        <v>0.6631337027199059</v>
      </c>
      <c r="T30" s="57">
        <f t="shared" si="16"/>
        <v>20.530208526315793</v>
      </c>
      <c r="U30" s="50">
        <f t="shared" si="8"/>
        <v>1.6424166821052633</v>
      </c>
      <c r="V30" s="58">
        <f t="shared" si="13"/>
        <v>9.7110905207017559</v>
      </c>
      <c r="W30" s="101">
        <f t="shared" si="14"/>
        <v>144.57912280701754</v>
      </c>
      <c r="X30" s="50">
        <f t="shared" si="9"/>
        <v>10.742667984828625</v>
      </c>
      <c r="Y30" s="77">
        <f>+(((10-X29)*(D30-D29))/(X30-X29))+D29</f>
        <v>115.91241116815003</v>
      </c>
      <c r="Z30" s="66" t="s">
        <v>75</v>
      </c>
      <c r="AA30" s="106"/>
      <c r="AB30" s="54">
        <f t="shared" si="10"/>
        <v>0.89257332015171376</v>
      </c>
    </row>
    <row r="31" spans="1:28" x14ac:dyDescent="0.25">
      <c r="A31" s="41">
        <v>19</v>
      </c>
      <c r="B31" s="42">
        <v>39601</v>
      </c>
      <c r="C31" s="43"/>
      <c r="D31" s="112">
        <v>135</v>
      </c>
      <c r="E31" s="56">
        <f t="shared" si="11"/>
        <v>15</v>
      </c>
      <c r="F31" s="41">
        <v>9.3556133750000004E-5</v>
      </c>
      <c r="G31" s="72">
        <f>+'[1]Con 10hP4'!E32</f>
        <v>2.7522543859649122</v>
      </c>
      <c r="H31" s="99">
        <f t="shared" si="1"/>
        <v>4.3205335968979055</v>
      </c>
      <c r="I31" s="47">
        <f t="shared" si="12"/>
        <v>41.283815789473685</v>
      </c>
      <c r="J31" s="47">
        <f>+G31/I91</f>
        <v>2.0450071425373046E-3</v>
      </c>
      <c r="K31" s="48">
        <f>+I31/I91</f>
        <v>3.0675107138059574E-2</v>
      </c>
      <c r="L31" s="49">
        <f t="shared" si="0"/>
        <v>4.1411394636380425</v>
      </c>
      <c r="M31" s="45">
        <f t="shared" si="15"/>
        <v>2.0450071425373046</v>
      </c>
      <c r="N31" s="51">
        <f t="shared" si="2"/>
        <v>0.37885165852837177</v>
      </c>
      <c r="O31" s="51">
        <f t="shared" si="3"/>
        <v>0.65874925465890677</v>
      </c>
      <c r="P31" s="51">
        <f t="shared" si="4"/>
        <v>0.37964595485059133</v>
      </c>
      <c r="Q31" s="52">
        <f t="shared" si="5"/>
        <v>0.33842264802820621</v>
      </c>
      <c r="R31" s="51">
        <f t="shared" si="6"/>
        <v>0.23900081149528676</v>
      </c>
      <c r="S31" s="50">
        <f t="shared" si="7"/>
        <v>0.67784724856886969</v>
      </c>
      <c r="T31" s="57">
        <f t="shared" si="16"/>
        <v>34.661891736842108</v>
      </c>
      <c r="U31" s="50">
        <f t="shared" si="8"/>
        <v>2.7729513389473688</v>
      </c>
      <c r="V31" s="58">
        <f t="shared" si="13"/>
        <v>12.484041859649125</v>
      </c>
      <c r="W31" s="101">
        <f t="shared" si="14"/>
        <v>185.86293859649123</v>
      </c>
      <c r="X31" s="50">
        <f t="shared" si="9"/>
        <v>13.810180897914407</v>
      </c>
      <c r="Y31" s="71" t="s">
        <v>76</v>
      </c>
      <c r="Z31" s="106"/>
      <c r="AA31" s="106"/>
      <c r="AB31" s="54">
        <f t="shared" si="10"/>
        <v>0.86189819102085596</v>
      </c>
    </row>
    <row r="32" spans="1:28" x14ac:dyDescent="0.25">
      <c r="A32" s="41">
        <v>20</v>
      </c>
      <c r="B32" s="42">
        <v>39601</v>
      </c>
      <c r="C32" s="43"/>
      <c r="D32" s="55">
        <v>150</v>
      </c>
      <c r="E32" s="56">
        <f t="shared" si="11"/>
        <v>15</v>
      </c>
      <c r="F32" s="41">
        <v>9.3556133750000004E-5</v>
      </c>
      <c r="G32" s="72">
        <f>+'[1]Con 10hP4'!E33</f>
        <v>2.4452368421052633</v>
      </c>
      <c r="H32" s="99">
        <f t="shared" si="1"/>
        <v>4.1620473829707194</v>
      </c>
      <c r="I32" s="47">
        <f t="shared" si="12"/>
        <v>36.678552631578953</v>
      </c>
      <c r="J32" s="47">
        <f>+G32/I91</f>
        <v>1.8168839453216073E-3</v>
      </c>
      <c r="K32" s="48">
        <f>+I32/I91</f>
        <v>2.7253259179824109E-2</v>
      </c>
      <c r="L32" s="49">
        <f t="shared" si="0"/>
        <v>4.0879888769736166</v>
      </c>
      <c r="M32" s="45">
        <f t="shared" si="15"/>
        <v>1.8168839453216072</v>
      </c>
      <c r="N32" s="51">
        <f t="shared" si="2"/>
        <v>0.42094628725374639</v>
      </c>
      <c r="O32" s="51">
        <f t="shared" si="3"/>
        <v>0.58526492151873222</v>
      </c>
      <c r="P32" s="51">
        <f t="shared" si="4"/>
        <v>0.39777264912719212</v>
      </c>
      <c r="Q32" s="52">
        <f t="shared" si="5"/>
        <v>0.34795928096540352</v>
      </c>
      <c r="R32" s="51">
        <f t="shared" si="6"/>
        <v>0.31824331226986319</v>
      </c>
      <c r="S32" s="50">
        <f t="shared" si="7"/>
        <v>0.68564267059387629</v>
      </c>
      <c r="T32" s="57">
        <f t="shared" si="16"/>
        <v>30.795312789473687</v>
      </c>
      <c r="U32" s="50">
        <f t="shared" si="8"/>
        <v>2.4636250231578947</v>
      </c>
      <c r="V32" s="58">
        <f t="shared" si="13"/>
        <v>14.94766688280702</v>
      </c>
      <c r="W32" s="101">
        <f t="shared" si="14"/>
        <v>222.54149122807019</v>
      </c>
      <c r="X32" s="50">
        <f t="shared" si="9"/>
        <v>16.535508769844125</v>
      </c>
      <c r="Y32" s="77"/>
      <c r="Z32" s="105"/>
      <c r="AA32" s="106"/>
      <c r="AB32" s="54">
        <f t="shared" si="10"/>
        <v>0.83464491230155879</v>
      </c>
    </row>
    <row r="33" spans="1:28" x14ac:dyDescent="0.25">
      <c r="A33" s="41">
        <v>21</v>
      </c>
      <c r="B33" s="42">
        <v>39601</v>
      </c>
      <c r="C33" s="43"/>
      <c r="D33" s="63">
        <v>165</v>
      </c>
      <c r="E33" s="56">
        <f t="shared" si="11"/>
        <v>15</v>
      </c>
      <c r="F33" s="41">
        <v>9.3556133750000004E-5</v>
      </c>
      <c r="G33" s="72">
        <f>+'[1]Con 10hP4'!E34</f>
        <v>2.412342105263158</v>
      </c>
      <c r="H33" s="99">
        <f t="shared" si="1"/>
        <v>3.9609901857384848</v>
      </c>
      <c r="I33" s="47">
        <f t="shared" si="12"/>
        <v>36.18513157894737</v>
      </c>
      <c r="J33" s="47">
        <f>+G33/I91</f>
        <v>1.7924421741913538E-3</v>
      </c>
      <c r="K33" s="48">
        <f>+I33/I91</f>
        <v>2.6886632612870307E-2</v>
      </c>
      <c r="L33" s="49">
        <f t="shared" si="0"/>
        <v>4.4362943811236004</v>
      </c>
      <c r="M33" s="45">
        <f t="shared" si="15"/>
        <v>1.7924421741913539</v>
      </c>
      <c r="N33" s="51">
        <f t="shared" si="2"/>
        <v>0.463040915979121</v>
      </c>
      <c r="O33" s="51">
        <f t="shared" si="3"/>
        <v>0.57739160011085644</v>
      </c>
      <c r="P33" s="51">
        <f t="shared" si="4"/>
        <v>0.41540352095326805</v>
      </c>
      <c r="Q33" s="52">
        <f t="shared" si="5"/>
        <v>0.35706792423582145</v>
      </c>
      <c r="R33" s="51">
        <f t="shared" si="6"/>
        <v>0.39577797390935443</v>
      </c>
      <c r="S33" s="50">
        <f t="shared" si="7"/>
        <v>0.68765527096136292</v>
      </c>
      <c r="T33" s="57">
        <f t="shared" si="16"/>
        <v>30.381036473684212</v>
      </c>
      <c r="U33" s="50">
        <f t="shared" si="8"/>
        <v>2.4304829178947371</v>
      </c>
      <c r="V33" s="58">
        <f t="shared" si="13"/>
        <v>17.378149800701756</v>
      </c>
      <c r="W33" s="101">
        <f t="shared" si="14"/>
        <v>258.72662280701758</v>
      </c>
      <c r="X33" s="50">
        <f t="shared" si="9"/>
        <v>19.224173958792843</v>
      </c>
      <c r="Y33" s="77"/>
      <c r="Z33" s="105"/>
      <c r="AA33" s="106"/>
      <c r="AB33" s="54">
        <f t="shared" si="10"/>
        <v>0.80775826041207155</v>
      </c>
    </row>
    <row r="34" spans="1:28" x14ac:dyDescent="0.25">
      <c r="A34" s="41">
        <v>22</v>
      </c>
      <c r="B34" s="42">
        <v>39601</v>
      </c>
      <c r="C34" s="43"/>
      <c r="D34" s="55">
        <v>180</v>
      </c>
      <c r="E34" s="56">
        <f t="shared" si="11"/>
        <v>15</v>
      </c>
      <c r="F34" s="41">
        <v>9.3556133750000004E-5</v>
      </c>
      <c r="G34" s="72">
        <f>+'[1]Con 10hP4'!E35</f>
        <v>2.5658508771929824</v>
      </c>
      <c r="H34" s="99">
        <f t="shared" si="1"/>
        <v>3.739741875484663</v>
      </c>
      <c r="I34" s="47">
        <f t="shared" si="12"/>
        <v>38.487763157894733</v>
      </c>
      <c r="J34" s="47">
        <f>+G34/I91</f>
        <v>1.9065037727992026E-3</v>
      </c>
      <c r="K34" s="48">
        <f>+I34/I91</f>
        <v>2.8597556591988038E-2</v>
      </c>
      <c r="L34" s="49">
        <f t="shared" si="0"/>
        <v>5.1475601865578469</v>
      </c>
      <c r="M34" s="45">
        <f t="shared" si="15"/>
        <v>1.9065037727992027</v>
      </c>
      <c r="N34" s="51">
        <f t="shared" si="2"/>
        <v>0.50513554470449562</v>
      </c>
      <c r="O34" s="51">
        <f t="shared" si="3"/>
        <v>0.61413376668094366</v>
      </c>
      <c r="P34" s="51">
        <f t="shared" si="4"/>
        <v>0.43239886327284138</v>
      </c>
      <c r="Q34" s="52">
        <f t="shared" si="5"/>
        <v>0.36570143261518062</v>
      </c>
      <c r="R34" s="51">
        <f t="shared" si="6"/>
        <v>0.46779818711134497</v>
      </c>
      <c r="S34" s="50">
        <f t="shared" si="7"/>
        <v>0.68484811564604187</v>
      </c>
      <c r="T34" s="57">
        <f t="shared" si="16"/>
        <v>32.314325947368424</v>
      </c>
      <c r="U34" s="50">
        <f t="shared" si="8"/>
        <v>2.5851460757894742</v>
      </c>
      <c r="V34" s="58">
        <f t="shared" si="13"/>
        <v>19.96329587649123</v>
      </c>
      <c r="W34" s="101">
        <f t="shared" si="14"/>
        <v>297.21438596491231</v>
      </c>
      <c r="X34" s="50">
        <f t="shared" si="9"/>
        <v>22.083931668319586</v>
      </c>
      <c r="Y34" s="77"/>
      <c r="Z34" s="105"/>
      <c r="AA34" s="106"/>
      <c r="AB34" s="54">
        <f t="shared" si="10"/>
        <v>0.7791606833168041</v>
      </c>
    </row>
    <row r="35" spans="1:28" x14ac:dyDescent="0.25">
      <c r="A35" s="41">
        <v>23</v>
      </c>
      <c r="B35" s="42">
        <v>39601</v>
      </c>
      <c r="C35" s="43"/>
      <c r="D35" s="63">
        <v>195</v>
      </c>
      <c r="E35" s="56">
        <f t="shared" si="11"/>
        <v>15</v>
      </c>
      <c r="F35" s="41">
        <v>9.3556133750000004E-5</v>
      </c>
      <c r="G35" s="72">
        <f>+'[1]Con 10hP4'!E36</f>
        <v>2.5439210526315787</v>
      </c>
      <c r="H35" s="99">
        <f t="shared" si="1"/>
        <v>3.5123669703716307</v>
      </c>
      <c r="I35" s="47">
        <f t="shared" si="12"/>
        <v>38.158815789473678</v>
      </c>
      <c r="J35" s="47">
        <f>+G35/I91</f>
        <v>1.890209258712367E-3</v>
      </c>
      <c r="K35" s="48">
        <f>+I35/I91</f>
        <v>2.83531388806855E-2</v>
      </c>
      <c r="L35" s="49">
        <f t="shared" si="0"/>
        <v>5.5288620817336724</v>
      </c>
      <c r="M35" s="45">
        <f t="shared" si="15"/>
        <v>1.8902092587123669</v>
      </c>
      <c r="N35" s="51">
        <f t="shared" si="2"/>
        <v>0.54723017342987035</v>
      </c>
      <c r="O35" s="51">
        <f t="shared" si="3"/>
        <v>0.60888488574235966</v>
      </c>
      <c r="P35" s="51">
        <f t="shared" si="4"/>
        <v>0.44861937765012788</v>
      </c>
      <c r="Q35" s="52">
        <f t="shared" si="5"/>
        <v>0.37381428469133876</v>
      </c>
      <c r="R35" s="51">
        <f t="shared" si="6"/>
        <v>0.53186778719958094</v>
      </c>
      <c r="S35" s="50">
        <f t="shared" si="7"/>
        <v>0.67804274085695071</v>
      </c>
      <c r="T35" s="57">
        <f t="shared" si="16"/>
        <v>32.038141736842107</v>
      </c>
      <c r="U35" s="50">
        <f t="shared" si="8"/>
        <v>2.5630513389473686</v>
      </c>
      <c r="V35" s="58">
        <f t="shared" si="13"/>
        <v>22.526347215438598</v>
      </c>
      <c r="W35" s="101">
        <f t="shared" si="14"/>
        <v>335.373201754386</v>
      </c>
      <c r="X35" s="50">
        <f t="shared" si="9"/>
        <v>24.919247589192327</v>
      </c>
      <c r="Y35" s="77"/>
      <c r="Z35" s="106"/>
      <c r="AB35" s="54">
        <f t="shared" si="10"/>
        <v>0.75080752410807672</v>
      </c>
    </row>
    <row r="36" spans="1:28" x14ac:dyDescent="0.25">
      <c r="A36" s="41">
        <v>24</v>
      </c>
      <c r="B36" s="42">
        <v>39601</v>
      </c>
      <c r="C36" s="43"/>
      <c r="D36" s="55">
        <v>210</v>
      </c>
      <c r="E36" s="56">
        <f>+D36-D35</f>
        <v>15</v>
      </c>
      <c r="F36" s="41">
        <v>9.3556133750000004E-5</v>
      </c>
      <c r="G36" s="72">
        <f>+'[1]Con 10hP4'!E37</f>
        <v>2.368482456140351</v>
      </c>
      <c r="H36" s="99">
        <f t="shared" si="1"/>
        <v>3.2875038161806756</v>
      </c>
      <c r="I36" s="47">
        <f t="shared" si="12"/>
        <v>35.527236842105268</v>
      </c>
      <c r="J36" s="47">
        <f>+G36/I91</f>
        <v>1.7598531460176828E-3</v>
      </c>
      <c r="K36" s="48">
        <f>+I36/I91</f>
        <v>2.6397797190265245E-2</v>
      </c>
      <c r="L36" s="49">
        <f t="shared" si="0"/>
        <v>5.5435374099557011</v>
      </c>
      <c r="M36" s="45">
        <f t="shared" si="15"/>
        <v>1.7598531460176827</v>
      </c>
      <c r="N36" s="51">
        <f t="shared" si="2"/>
        <v>0.58932480215524496</v>
      </c>
      <c r="O36" s="51">
        <f t="shared" si="3"/>
        <v>0.56689383823368866</v>
      </c>
      <c r="P36" s="51">
        <f t="shared" si="4"/>
        <v>0.46392804639066704</v>
      </c>
      <c r="Q36" s="52">
        <f t="shared" si="5"/>
        <v>0.38136298079548792</v>
      </c>
      <c r="R36" s="51">
        <f t="shared" si="6"/>
        <v>0.5866783511115794</v>
      </c>
      <c r="S36" s="50">
        <f t="shared" si="7"/>
        <v>0.66794256327247969</v>
      </c>
      <c r="T36" s="57">
        <f t="shared" si="16"/>
        <v>29.828668052631581</v>
      </c>
      <c r="U36" s="50">
        <f t="shared" si="8"/>
        <v>2.3862934442105264</v>
      </c>
      <c r="V36" s="58">
        <f t="shared" si="13"/>
        <v>24.912640659649124</v>
      </c>
      <c r="W36" s="101">
        <f t="shared" si="14"/>
        <v>370.90043859649126</v>
      </c>
      <c r="X36" s="50">
        <f t="shared" si="9"/>
        <v>27.559029200833031</v>
      </c>
      <c r="Y36" s="77"/>
      <c r="Z36" s="106"/>
      <c r="AB36" s="54">
        <f t="shared" si="10"/>
        <v>0.7244097079916697</v>
      </c>
    </row>
    <row r="37" spans="1:28" x14ac:dyDescent="0.25">
      <c r="A37" s="41">
        <v>25</v>
      </c>
      <c r="B37" s="42">
        <v>39601</v>
      </c>
      <c r="C37" s="43"/>
      <c r="D37" s="63">
        <v>225</v>
      </c>
      <c r="E37" s="56">
        <f t="shared" si="11"/>
        <v>15</v>
      </c>
      <c r="F37" s="41">
        <v>9.3556133750000004E-5</v>
      </c>
      <c r="G37" s="72">
        <f>+'[1]Con 10hP4'!E38</f>
        <v>2.2588333333333335</v>
      </c>
      <c r="H37" s="99">
        <f t="shared" si="1"/>
        <v>3.0702831455994639</v>
      </c>
      <c r="I37" s="47">
        <f t="shared" si="12"/>
        <v>33.8825</v>
      </c>
      <c r="J37" s="47">
        <f>+G37/I91</f>
        <v>1.6783805755835051E-3</v>
      </c>
      <c r="K37" s="48">
        <f>+I37/I91</f>
        <v>2.5175708633752573E-2</v>
      </c>
      <c r="L37" s="49">
        <f t="shared" si="0"/>
        <v>5.6645344425943289</v>
      </c>
      <c r="M37" s="45">
        <f t="shared" si="15"/>
        <v>1.6783805755835051</v>
      </c>
      <c r="N37" s="51">
        <f t="shared" si="2"/>
        <v>0.63141943088061958</v>
      </c>
      <c r="O37" s="51">
        <f t="shared" si="3"/>
        <v>0.54064943354076911</v>
      </c>
      <c r="P37" s="51">
        <f t="shared" si="4"/>
        <v>0.47819204004751681</v>
      </c>
      <c r="Q37" s="52">
        <f t="shared" si="5"/>
        <v>0.3883064302530943</v>
      </c>
      <c r="R37" s="51">
        <f t="shared" si="6"/>
        <v>0.6317673468450854</v>
      </c>
      <c r="S37" s="50">
        <f t="shared" si="7"/>
        <v>0.65515127370420245</v>
      </c>
      <c r="T37" s="57">
        <f t="shared" si="16"/>
        <v>28.447747</v>
      </c>
      <c r="U37" s="50">
        <f t="shared" si="8"/>
        <v>2.2758197599999996</v>
      </c>
      <c r="V37" s="58">
        <f t="shared" si="13"/>
        <v>27.188460419649125</v>
      </c>
      <c r="W37" s="101">
        <f t="shared" si="14"/>
        <v>404.78293859649125</v>
      </c>
      <c r="X37" s="50">
        <f t="shared" si="9"/>
        <v>30.076601869203717</v>
      </c>
      <c r="Y37" s="77"/>
      <c r="Z37" s="105"/>
      <c r="AB37" s="54">
        <f t="shared" si="10"/>
        <v>0.69923398130796288</v>
      </c>
    </row>
    <row r="38" spans="1:28" x14ac:dyDescent="0.25">
      <c r="A38" s="41">
        <v>26</v>
      </c>
      <c r="B38" s="42">
        <v>39601</v>
      </c>
      <c r="C38" s="43"/>
      <c r="D38" s="55">
        <v>240</v>
      </c>
      <c r="E38" s="56">
        <f t="shared" si="11"/>
        <v>15</v>
      </c>
      <c r="F38" s="41">
        <v>9.3556133750000004E-5</v>
      </c>
      <c r="G38" s="72">
        <f>+'[1]Con 10hP4'!E39</f>
        <v>2.1711140350877192</v>
      </c>
      <c r="H38" s="99">
        <f t="shared" si="1"/>
        <v>2.8635820696622556</v>
      </c>
      <c r="I38" s="47">
        <f t="shared" si="12"/>
        <v>32.566710526315788</v>
      </c>
      <c r="J38" s="47">
        <f>+G38/I91</f>
        <v>1.6132025192361625E-3</v>
      </c>
      <c r="K38" s="48">
        <f>+I38/I91</f>
        <v>2.4198037788542438E-2</v>
      </c>
      <c r="L38" s="49">
        <f t="shared" si="0"/>
        <v>5.8075290692501849</v>
      </c>
      <c r="M38" s="45">
        <f t="shared" si="15"/>
        <v>1.6132025192361625</v>
      </c>
      <c r="N38" s="51">
        <f t="shared" si="2"/>
        <v>0.6735140596059942</v>
      </c>
      <c r="O38" s="51">
        <f t="shared" si="3"/>
        <v>0.51965390978643355</v>
      </c>
      <c r="P38" s="51">
        <f t="shared" si="4"/>
        <v>0.49128462363081388</v>
      </c>
      <c r="Q38" s="52">
        <f t="shared" si="5"/>
        <v>0.39460632314820543</v>
      </c>
      <c r="R38" s="51">
        <f t="shared" si="6"/>
        <v>0.66726319333456852</v>
      </c>
      <c r="S38" s="50">
        <f t="shared" si="7"/>
        <v>0.64018763292718983</v>
      </c>
      <c r="T38" s="57">
        <f t="shared" si="16"/>
        <v>27.343010157894735</v>
      </c>
      <c r="U38" s="50">
        <f t="shared" si="8"/>
        <v>2.187440812631579</v>
      </c>
      <c r="V38" s="58">
        <f t="shared" si="13"/>
        <v>29.375901232280704</v>
      </c>
      <c r="W38" s="101">
        <f t="shared" si="14"/>
        <v>437.34964912280702</v>
      </c>
      <c r="X38" s="50">
        <f t="shared" si="9"/>
        <v>32.496407382958381</v>
      </c>
      <c r="AB38" s="54">
        <f t="shared" si="10"/>
        <v>0.67503592617041619</v>
      </c>
    </row>
    <row r="39" spans="1:28" x14ac:dyDescent="0.25">
      <c r="A39" s="41">
        <v>27</v>
      </c>
      <c r="B39" s="42">
        <v>39601</v>
      </c>
      <c r="C39" s="43"/>
      <c r="D39" s="63">
        <v>255</v>
      </c>
      <c r="E39" s="56">
        <f t="shared" si="11"/>
        <v>15</v>
      </c>
      <c r="F39" s="41">
        <v>9.3556133750000004E-5</v>
      </c>
      <c r="G39" s="72">
        <f>+'[1]Con 10hP4'!E40</f>
        <v>2.1601491228070175</v>
      </c>
      <c r="H39" s="99">
        <f t="shared" si="1"/>
        <v>2.668839189420344</v>
      </c>
      <c r="I39" s="47">
        <f t="shared" si="12"/>
        <v>32.40223684210526</v>
      </c>
      <c r="J39" s="47">
        <f>+G39/I91</f>
        <v>1.6050552621927449E-3</v>
      </c>
      <c r="K39" s="48">
        <f>+I39/I91</f>
        <v>2.4075828932891171E-2</v>
      </c>
      <c r="L39" s="49">
        <f t="shared" si="0"/>
        <v>6.1393363778872487</v>
      </c>
      <c r="M39" s="45">
        <f t="shared" si="15"/>
        <v>1.605055262192745</v>
      </c>
      <c r="N39" s="51">
        <f t="shared" si="2"/>
        <v>0.71560868833136881</v>
      </c>
      <c r="O39" s="51">
        <f t="shared" si="3"/>
        <v>0.51702946931714155</v>
      </c>
      <c r="P39" s="51">
        <f t="shared" si="4"/>
        <v>0.50308702355782553</v>
      </c>
      <c r="Q39" s="52">
        <f t="shared" si="5"/>
        <v>0.40022748190605734</v>
      </c>
      <c r="R39" s="51">
        <f t="shared" si="6"/>
        <v>0.6936793281108472</v>
      </c>
      <c r="S39" s="50">
        <f t="shared" si="7"/>
        <v>0.6234975952546189</v>
      </c>
      <c r="T39" s="57">
        <f t="shared" si="16"/>
        <v>27.20491805263158</v>
      </c>
      <c r="U39" s="50">
        <f t="shared" si="8"/>
        <v>2.1763934442105266</v>
      </c>
      <c r="V39" s="58">
        <f t="shared" si="13"/>
        <v>31.552294676491229</v>
      </c>
      <c r="W39" s="101">
        <f t="shared" si="14"/>
        <v>469.75188596491228</v>
      </c>
      <c r="X39" s="50">
        <f t="shared" si="9"/>
        <v>34.90399200238604</v>
      </c>
      <c r="Y39" s="19"/>
      <c r="Z39" s="3"/>
      <c r="AB39" s="54">
        <f t="shared" si="10"/>
        <v>0.65096007997613958</v>
      </c>
    </row>
    <row r="40" spans="1:28" x14ac:dyDescent="0.25">
      <c r="A40" s="41">
        <v>28</v>
      </c>
      <c r="B40" s="42">
        <v>39601</v>
      </c>
      <c r="C40" s="43"/>
      <c r="D40" s="55">
        <v>270</v>
      </c>
      <c r="E40" s="56">
        <f t="shared" si="11"/>
        <v>15</v>
      </c>
      <c r="F40" s="41">
        <v>9.3556133750000004E-5</v>
      </c>
      <c r="G40" s="72">
        <f>+'[1]Con 10hP4'!E41</f>
        <v>2.0285701754385967</v>
      </c>
      <c r="H40" s="99">
        <f t="shared" si="1"/>
        <v>2.486583901738245</v>
      </c>
      <c r="I40" s="47">
        <f t="shared" si="12"/>
        <v>30.428552631578953</v>
      </c>
      <c r="J40" s="47">
        <f>+G40/I91</f>
        <v>1.5072881776717318E-3</v>
      </c>
      <c r="K40" s="48">
        <f>+I40/I91</f>
        <v>2.2609322665075978E-2</v>
      </c>
      <c r="L40" s="49">
        <f t="shared" si="0"/>
        <v>6.1045171195705139</v>
      </c>
      <c r="M40" s="45">
        <f t="shared" si="15"/>
        <v>1.5072881776717317</v>
      </c>
      <c r="N40" s="51">
        <f t="shared" si="2"/>
        <v>0.75770331705674354</v>
      </c>
      <c r="O40" s="51">
        <f t="shared" si="3"/>
        <v>0.48553618368563828</v>
      </c>
      <c r="P40" s="51">
        <f t="shared" si="4"/>
        <v>0.51349021706159725</v>
      </c>
      <c r="Q40" s="52">
        <f t="shared" si="5"/>
        <v>0.40513818818621578</v>
      </c>
      <c r="R40" s="51">
        <f t="shared" si="6"/>
        <v>0.71175866035316981</v>
      </c>
      <c r="S40" s="50">
        <f t="shared" si="7"/>
        <v>0.60546438864378205</v>
      </c>
      <c r="T40" s="57">
        <f t="shared" si="16"/>
        <v>25.547812789473685</v>
      </c>
      <c r="U40" s="50">
        <f t="shared" si="8"/>
        <v>2.0438250231578947</v>
      </c>
      <c r="V40" s="58">
        <f t="shared" si="13"/>
        <v>33.596119699649122</v>
      </c>
      <c r="W40" s="101">
        <f t="shared" si="14"/>
        <v>500.18043859649123</v>
      </c>
      <c r="X40" s="50">
        <f t="shared" si="9"/>
        <v>37.16492588988968</v>
      </c>
      <c r="Y40" s="19"/>
      <c r="Z40" s="3"/>
      <c r="AB40" s="54">
        <f t="shared" si="10"/>
        <v>0.62835074110110312</v>
      </c>
    </row>
    <row r="41" spans="1:28" x14ac:dyDescent="0.25">
      <c r="A41" s="41">
        <v>29</v>
      </c>
      <c r="B41" s="42">
        <v>39601</v>
      </c>
      <c r="C41" s="43"/>
      <c r="D41" s="63">
        <v>285</v>
      </c>
      <c r="E41" s="56">
        <f t="shared" si="11"/>
        <v>15</v>
      </c>
      <c r="F41" s="41">
        <v>9.3556133750000004E-5</v>
      </c>
      <c r="G41" s="72">
        <f>+'[1]Con 10hP4'!E42</f>
        <v>2.0724298245614037</v>
      </c>
      <c r="H41" s="99">
        <f t="shared" si="1"/>
        <v>2.3167802976371714</v>
      </c>
      <c r="I41" s="57">
        <f t="shared" si="12"/>
        <v>31.086447368421055</v>
      </c>
      <c r="J41" s="57">
        <f>+G41/I91</f>
        <v>1.5398772058454028E-3</v>
      </c>
      <c r="K41" s="102">
        <f>+I41/I91</f>
        <v>2.3098158087681044E-2</v>
      </c>
      <c r="L41" s="50">
        <f t="shared" si="0"/>
        <v>6.5829750549890971</v>
      </c>
      <c r="M41" s="58">
        <f t="shared" si="15"/>
        <v>1.5398772058454029</v>
      </c>
      <c r="N41" s="51">
        <f t="shared" si="2"/>
        <v>0.79979794578211816</v>
      </c>
      <c r="O41" s="51">
        <f t="shared" si="3"/>
        <v>0.49603394556280606</v>
      </c>
      <c r="P41" s="51">
        <f t="shared" si="4"/>
        <v>0.52239660646006858</v>
      </c>
      <c r="Q41" s="52">
        <f t="shared" si="5"/>
        <v>0.4093104808399361</v>
      </c>
      <c r="R41" s="51">
        <f t="shared" si="6"/>
        <v>0.72236158255388749</v>
      </c>
      <c r="S41" s="50">
        <f t="shared" si="7"/>
        <v>0.58641699375354905</v>
      </c>
      <c r="T41" s="57">
        <f t="shared" si="16"/>
        <v>26.100181210526319</v>
      </c>
      <c r="U41" s="50">
        <f t="shared" si="8"/>
        <v>2.0880144968421055</v>
      </c>
      <c r="V41" s="58">
        <f t="shared" si="13"/>
        <v>35.684134196491229</v>
      </c>
      <c r="W41" s="101">
        <f t="shared" si="14"/>
        <v>531.26688596491226</v>
      </c>
      <c r="X41" s="50">
        <f t="shared" si="9"/>
        <v>39.474743354701324</v>
      </c>
      <c r="Y41" s="77"/>
      <c r="Z41" s="66"/>
      <c r="AB41" s="54">
        <f t="shared" si="10"/>
        <v>0.60525256645298675</v>
      </c>
    </row>
    <row r="42" spans="1:28" x14ac:dyDescent="0.25">
      <c r="A42" s="41">
        <v>30</v>
      </c>
      <c r="B42" s="42">
        <v>39601</v>
      </c>
      <c r="C42" s="43"/>
      <c r="D42" s="55">
        <v>300</v>
      </c>
      <c r="E42" s="56">
        <f t="shared" si="11"/>
        <v>15</v>
      </c>
      <c r="F42" s="41">
        <v>9.3556133750000004E-5</v>
      </c>
      <c r="G42" s="72">
        <f>+'[1]Con 10hP4'!E43</f>
        <v>1.9956754385964914</v>
      </c>
      <c r="H42" s="99">
        <f t="shared" si="1"/>
        <v>2.1590506620097152</v>
      </c>
      <c r="I42" s="47">
        <f t="shared" si="12"/>
        <v>29.93513157894737</v>
      </c>
      <c r="J42" s="47">
        <f>+G42/I91</f>
        <v>1.4828464065414786E-3</v>
      </c>
      <c r="K42" s="48">
        <f>+I42/I91</f>
        <v>2.2242696098122176E-2</v>
      </c>
      <c r="L42" s="49">
        <f t="shared" si="0"/>
        <v>6.6728088294366525</v>
      </c>
      <c r="M42" s="45">
        <f t="shared" si="15"/>
        <v>1.4828464065414786</v>
      </c>
      <c r="N42" s="51">
        <f t="shared" si="2"/>
        <v>0.84189257450749277</v>
      </c>
      <c r="O42" s="51">
        <f t="shared" si="3"/>
        <v>0.47766286227776245</v>
      </c>
      <c r="P42" s="51">
        <f t="shared" si="4"/>
        <v>0.52972154238282865</v>
      </c>
      <c r="Q42" s="52">
        <f t="shared" si="5"/>
        <v>0.41272042101768108</v>
      </c>
      <c r="R42" s="51">
        <f t="shared" si="6"/>
        <v>0.72638857828534842</v>
      </c>
      <c r="S42" s="50">
        <f t="shared" si="7"/>
        <v>0.56663734291599477</v>
      </c>
      <c r="T42" s="57">
        <f t="shared" si="16"/>
        <v>25.133536473684213</v>
      </c>
      <c r="U42" s="50">
        <f t="shared" si="8"/>
        <v>2.0106829178947372</v>
      </c>
      <c r="V42" s="58">
        <f t="shared" si="13"/>
        <v>37.69481711438597</v>
      </c>
      <c r="W42" s="101">
        <f t="shared" si="14"/>
        <v>561.2020175438596</v>
      </c>
      <c r="X42" s="50">
        <f t="shared" si="9"/>
        <v>41.699014559223954</v>
      </c>
      <c r="Y42" s="19"/>
      <c r="Z42" s="3"/>
      <c r="AB42" s="54">
        <f t="shared" si="10"/>
        <v>0.58300985440776043</v>
      </c>
    </row>
    <row r="43" spans="1:28" x14ac:dyDescent="0.25">
      <c r="A43" s="41">
        <v>31</v>
      </c>
      <c r="B43" s="42">
        <v>39601</v>
      </c>
      <c r="C43" s="43"/>
      <c r="D43" s="55">
        <v>320</v>
      </c>
      <c r="E43" s="56">
        <f t="shared" si="11"/>
        <v>20</v>
      </c>
      <c r="F43" s="41">
        <v>9.3556133750000004E-5</v>
      </c>
      <c r="G43" s="72">
        <f>+'[1]Con 10hP4'!E44</f>
        <v>1.820236842105263</v>
      </c>
      <c r="H43" s="99">
        <f t="shared" si="1"/>
        <v>1.9665172052637601</v>
      </c>
      <c r="I43" s="47">
        <f t="shared" si="12"/>
        <v>36.404736842105258</v>
      </c>
      <c r="J43" s="47">
        <f>+G43/I91</f>
        <v>1.3524902938467937E-3</v>
      </c>
      <c r="K43" s="48">
        <f>+I43/I91</f>
        <v>2.7049805876935874E-2</v>
      </c>
      <c r="L43" s="49">
        <f t="shared" si="0"/>
        <v>8.6559378806194793</v>
      </c>
      <c r="M43" s="45">
        <f t="shared" si="15"/>
        <v>1.3524902938467938</v>
      </c>
      <c r="N43" s="51">
        <f t="shared" si="2"/>
        <v>0.8980187461413256</v>
      </c>
      <c r="O43" s="51">
        <f t="shared" si="3"/>
        <v>0.43567181476909123</v>
      </c>
      <c r="P43" s="51">
        <f t="shared" si="4"/>
        <v>0.53690867290109334</v>
      </c>
      <c r="Q43" s="52">
        <f t="shared" si="5"/>
        <v>0.41604773447832999</v>
      </c>
      <c r="R43" s="51">
        <f t="shared" si="6"/>
        <v>0.72305990736125414</v>
      </c>
      <c r="S43" s="50">
        <f t="shared" si="7"/>
        <v>0.53953680854871344</v>
      </c>
      <c r="T43" s="57">
        <f t="shared" si="16"/>
        <v>30.565417052631577</v>
      </c>
      <c r="U43" s="50">
        <f t="shared" si="8"/>
        <v>2.4452333642105262</v>
      </c>
      <c r="V43" s="58">
        <f t="shared" si="13"/>
        <v>40.140050478596493</v>
      </c>
      <c r="W43" s="101">
        <f t="shared" si="14"/>
        <v>597.6067543859649</v>
      </c>
      <c r="X43" s="50">
        <f t="shared" si="9"/>
        <v>44.403997086278082</v>
      </c>
      <c r="Y43" s="19"/>
      <c r="Z43" s="3"/>
      <c r="AB43" s="54">
        <f t="shared" si="10"/>
        <v>0.5559600291372192</v>
      </c>
    </row>
    <row r="44" spans="1:28" x14ac:dyDescent="0.25">
      <c r="A44" s="41">
        <v>32</v>
      </c>
      <c r="B44" s="42">
        <v>39601</v>
      </c>
      <c r="C44" s="43"/>
      <c r="D44" s="55">
        <v>340</v>
      </c>
      <c r="E44" s="56">
        <f t="shared" si="11"/>
        <v>20</v>
      </c>
      <c r="F44" s="41">
        <v>9.3556133750000004E-5</v>
      </c>
      <c r="G44" s="72">
        <f>+'[1]Con 10hP4'!E45</f>
        <v>1.7983070175438598</v>
      </c>
      <c r="H44" s="99">
        <f t="shared" si="1"/>
        <v>1.7927975974300867</v>
      </c>
      <c r="I44" s="47">
        <f t="shared" si="12"/>
        <v>35.966140350877197</v>
      </c>
      <c r="J44" s="47">
        <f>+G44/I91</f>
        <v>1.3361957797599585E-3</v>
      </c>
      <c r="K44" s="48">
        <f>+I44/I91</f>
        <v>2.6723915595199169E-2</v>
      </c>
      <c r="L44" s="49">
        <f t="shared" si="0"/>
        <v>9.0861313023677166</v>
      </c>
      <c r="M44" s="45">
        <f t="shared" si="15"/>
        <v>1.3361957797599586</v>
      </c>
      <c r="N44" s="51">
        <f t="shared" si="2"/>
        <v>0.95414491777515842</v>
      </c>
      <c r="O44" s="51">
        <f t="shared" si="3"/>
        <v>0.43042293383050739</v>
      </c>
      <c r="P44" s="51">
        <f t="shared" si="4"/>
        <v>0.54103727304645999</v>
      </c>
      <c r="Q44" s="52">
        <f t="shared" si="5"/>
        <v>0.41795094726294985</v>
      </c>
      <c r="R44" s="51">
        <f t="shared" si="6"/>
        <v>0.71159554495395294</v>
      </c>
      <c r="S44" s="50">
        <f t="shared" si="7"/>
        <v>0.51203397312034971</v>
      </c>
      <c r="T44" s="57">
        <f t="shared" si="16"/>
        <v>30.197171438596495</v>
      </c>
      <c r="U44" s="50">
        <f t="shared" si="8"/>
        <v>2.4157737150877194</v>
      </c>
      <c r="V44" s="58">
        <f t="shared" si="13"/>
        <v>42.555824193684209</v>
      </c>
      <c r="W44" s="101">
        <f t="shared" si="14"/>
        <v>633.57289473684204</v>
      </c>
      <c r="X44" s="50">
        <f t="shared" si="9"/>
        <v>47.076390561793538</v>
      </c>
      <c r="Y44" s="19"/>
      <c r="Z44" s="3"/>
      <c r="AB44" s="54">
        <f t="shared" si="10"/>
        <v>0.52923609438206465</v>
      </c>
    </row>
    <row r="45" spans="1:28" x14ac:dyDescent="0.25">
      <c r="A45" s="41">
        <v>33</v>
      </c>
      <c r="B45" s="42">
        <v>39601</v>
      </c>
      <c r="C45" s="43"/>
      <c r="D45" s="55">
        <v>360</v>
      </c>
      <c r="E45" s="56">
        <f t="shared" si="11"/>
        <v>20</v>
      </c>
      <c r="F45" s="41">
        <v>9.3556133750000004E-5</v>
      </c>
      <c r="G45" s="72">
        <f>+'[1]Con 10hP4'!E46</f>
        <v>1.7983070175438598</v>
      </c>
      <c r="H45" s="99">
        <f t="shared" si="1"/>
        <v>1.6361768193152471</v>
      </c>
      <c r="I45" s="47">
        <f t="shared" si="12"/>
        <v>35.966140350877197</v>
      </c>
      <c r="J45" s="47">
        <f>+G45/I91</f>
        <v>1.3361957797599585E-3</v>
      </c>
      <c r="K45" s="48">
        <f>+I45/I91</f>
        <v>2.6723915595199169E-2</v>
      </c>
      <c r="L45" s="49">
        <f t="shared" si="0"/>
        <v>9.6206096142717001</v>
      </c>
      <c r="M45" s="45">
        <f t="shared" si="15"/>
        <v>1.3361957797599586</v>
      </c>
      <c r="N45" s="51">
        <f t="shared" si="2"/>
        <v>1.0102710894089912</v>
      </c>
      <c r="O45" s="51">
        <f t="shared" si="3"/>
        <v>0.43042293383050739</v>
      </c>
      <c r="P45" s="51">
        <f t="shared" si="4"/>
        <v>0.54203575235044432</v>
      </c>
      <c r="Q45" s="52">
        <f t="shared" si="5"/>
        <v>0.41841034632622698</v>
      </c>
      <c r="R45" s="51">
        <f t="shared" si="6"/>
        <v>0.6937686124001593</v>
      </c>
      <c r="S45" s="50">
        <f t="shared" si="7"/>
        <v>0.48451005529855196</v>
      </c>
      <c r="T45" s="57">
        <f t="shared" si="16"/>
        <v>30.197171438596495</v>
      </c>
      <c r="U45" s="50">
        <f t="shared" si="8"/>
        <v>2.4157737150877194</v>
      </c>
      <c r="V45" s="58">
        <f t="shared" si="13"/>
        <v>44.971597908771926</v>
      </c>
      <c r="W45" s="101">
        <f t="shared" si="14"/>
        <v>669.53903508771918</v>
      </c>
      <c r="X45" s="50">
        <f t="shared" si="9"/>
        <v>49.748784037308987</v>
      </c>
      <c r="Y45" s="19"/>
      <c r="Z45" s="3"/>
      <c r="AB45" s="54">
        <f t="shared" si="10"/>
        <v>0.5025121596269102</v>
      </c>
    </row>
    <row r="46" spans="1:28" x14ac:dyDescent="0.25">
      <c r="A46" s="41">
        <v>34</v>
      </c>
      <c r="B46" s="42">
        <v>39601</v>
      </c>
      <c r="C46" s="43"/>
      <c r="D46" s="55">
        <v>380</v>
      </c>
      <c r="E46" s="56">
        <f t="shared" si="11"/>
        <v>20</v>
      </c>
      <c r="F46" s="41">
        <v>9.3556133750000004E-5</v>
      </c>
      <c r="G46" s="72">
        <f>+'[1]Con 10hP4'!E47</f>
        <v>1.6228684210526316</v>
      </c>
      <c r="H46" s="99">
        <f t="shared" si="1"/>
        <v>1.4949732057137093</v>
      </c>
      <c r="I46" s="113">
        <f t="shared" si="12"/>
        <v>32.457368421052635</v>
      </c>
      <c r="J46" s="113">
        <f>+G46/I91</f>
        <v>1.2058396670652739E-3</v>
      </c>
      <c r="K46" s="114">
        <f>+I46/I91</f>
        <v>2.4116793341305481E-2</v>
      </c>
      <c r="L46" s="115">
        <f t="shared" si="0"/>
        <v>9.1643814696960835</v>
      </c>
      <c r="M46" s="116">
        <f t="shared" si="15"/>
        <v>1.2058396670652738</v>
      </c>
      <c r="N46" s="51">
        <f t="shared" si="2"/>
        <v>1.0663972610428241</v>
      </c>
      <c r="O46" s="51">
        <f t="shared" si="3"/>
        <v>0.38843188632183623</v>
      </c>
      <c r="P46" s="51">
        <f t="shared" si="4"/>
        <v>0.53988674217620036</v>
      </c>
      <c r="Q46" s="52">
        <f t="shared" si="5"/>
        <v>0.41742116433306864</v>
      </c>
      <c r="R46" s="51">
        <f t="shared" si="6"/>
        <v>0.67111939574500823</v>
      </c>
      <c r="S46" s="50">
        <f t="shared" si="7"/>
        <v>0.45726812953461893</v>
      </c>
      <c r="T46" s="57">
        <f t="shared" si="16"/>
        <v>27.251206526315791</v>
      </c>
      <c r="U46" s="50">
        <f t="shared" si="8"/>
        <v>2.1800965221052633</v>
      </c>
      <c r="V46" s="58">
        <f t="shared" si="13"/>
        <v>47.151694430877193</v>
      </c>
      <c r="W46" s="101">
        <f t="shared" si="14"/>
        <v>701.99640350877178</v>
      </c>
      <c r="X46" s="50">
        <f t="shared" si="9"/>
        <v>52.160465100515054</v>
      </c>
      <c r="Y46" s="77">
        <f>+(((50-X45)*(D46-D45))/(X46-X45))+D45</f>
        <v>362.08332657683223</v>
      </c>
      <c r="Z46" s="66" t="s">
        <v>77</v>
      </c>
      <c r="AB46" s="54">
        <f t="shared" si="10"/>
        <v>0.47839534899484948</v>
      </c>
    </row>
    <row r="47" spans="1:28" x14ac:dyDescent="0.25">
      <c r="A47" s="41">
        <v>35</v>
      </c>
      <c r="B47" s="42">
        <v>39601</v>
      </c>
      <c r="C47" s="43"/>
      <c r="D47" s="55">
        <v>400</v>
      </c>
      <c r="E47" s="56">
        <f t="shared" si="11"/>
        <v>20</v>
      </c>
      <c r="F47" s="41">
        <v>9.3556133750000004E-5</v>
      </c>
      <c r="G47" s="72">
        <f>+'[1]Con 10hP4'!E48</f>
        <v>1.5461140350877194</v>
      </c>
      <c r="H47" s="99">
        <f t="shared" si="1"/>
        <v>1.3676045329007274</v>
      </c>
      <c r="I47" s="47">
        <f t="shared" si="12"/>
        <v>30.922280701754389</v>
      </c>
      <c r="J47" s="47">
        <f>+G47/I91</f>
        <v>1.1488088677613496E-3</v>
      </c>
      <c r="K47" s="48">
        <f>+I47/I91</f>
        <v>2.2976177355226991E-2</v>
      </c>
      <c r="L47" s="49">
        <f t="shared" si="0"/>
        <v>9.190470942090796</v>
      </c>
      <c r="M47" s="45">
        <f t="shared" si="15"/>
        <v>1.1488088677613497</v>
      </c>
      <c r="N47" s="51">
        <f t="shared" si="2"/>
        <v>1.1225234326766571</v>
      </c>
      <c r="O47" s="51">
        <f t="shared" si="3"/>
        <v>0.37006080303679256</v>
      </c>
      <c r="P47" s="51">
        <f t="shared" si="4"/>
        <v>0.53462759829358086</v>
      </c>
      <c r="Q47" s="52">
        <f t="shared" si="5"/>
        <v>0.41499366201720317</v>
      </c>
      <c r="R47" s="51">
        <f t="shared" si="6"/>
        <v>0.64495569926951113</v>
      </c>
      <c r="S47" s="50">
        <f t="shared" si="7"/>
        <v>0.43054621347368432</v>
      </c>
      <c r="T47" s="57">
        <f t="shared" si="16"/>
        <v>25.962346877192985</v>
      </c>
      <c r="U47" s="50">
        <f t="shared" si="8"/>
        <v>2.0769877501754386</v>
      </c>
      <c r="V47" s="58">
        <f t="shared" si="13"/>
        <v>49.228682181052633</v>
      </c>
      <c r="W47" s="101">
        <f t="shared" si="14"/>
        <v>732.91868421052618</v>
      </c>
      <c r="X47" s="50">
        <f t="shared" si="9"/>
        <v>54.458084483335782</v>
      </c>
      <c r="Y47" s="71"/>
      <c r="AB47" s="54">
        <f t="shared" si="10"/>
        <v>0.45541915516664222</v>
      </c>
    </row>
    <row r="48" spans="1:28" x14ac:dyDescent="0.25">
      <c r="A48" s="41">
        <v>36</v>
      </c>
      <c r="B48" s="42">
        <v>39601</v>
      </c>
      <c r="C48" s="43"/>
      <c r="D48" s="55">
        <v>420</v>
      </c>
      <c r="E48" s="56">
        <f t="shared" si="11"/>
        <v>20</v>
      </c>
      <c r="F48" s="41">
        <v>9.3556133750000004E-5</v>
      </c>
      <c r="G48" s="72">
        <f>+'[1]Con 10hP4'!E49</f>
        <v>1.4803245614035088</v>
      </c>
      <c r="H48" s="99">
        <f t="shared" si="1"/>
        <v>1.2526175599759857</v>
      </c>
      <c r="I48" s="47">
        <f t="shared" si="12"/>
        <v>29.606491228070176</v>
      </c>
      <c r="J48" s="47">
        <f>+G48/I91</f>
        <v>1.0999253255008429E-3</v>
      </c>
      <c r="K48" s="48">
        <f>+I48/I91</f>
        <v>2.1998506510016856E-2</v>
      </c>
      <c r="L48" s="49">
        <f t="shared" si="0"/>
        <v>9.2393727342070804</v>
      </c>
      <c r="M48" s="45">
        <f t="shared" si="15"/>
        <v>1.099925325500843</v>
      </c>
      <c r="N48" s="51">
        <f t="shared" si="2"/>
        <v>1.1786496043104899</v>
      </c>
      <c r="O48" s="51">
        <f t="shared" si="3"/>
        <v>0.3543141602210409</v>
      </c>
      <c r="P48" s="51">
        <f t="shared" si="4"/>
        <v>0.52634932072457841</v>
      </c>
      <c r="Q48" s="52">
        <f t="shared" si="5"/>
        <v>0.41115295099554955</v>
      </c>
      <c r="R48" s="51">
        <f t="shared" si="6"/>
        <v>0.61636794176073506</v>
      </c>
      <c r="S48" s="50">
        <f t="shared" si="7"/>
        <v>0.40452821988697624</v>
      </c>
      <c r="T48" s="57">
        <f t="shared" si="16"/>
        <v>24.85761003508772</v>
      </c>
      <c r="U48" s="50">
        <f t="shared" si="8"/>
        <v>1.9886088028070177</v>
      </c>
      <c r="V48" s="58">
        <f t="shared" si="13"/>
        <v>51.217290983859648</v>
      </c>
      <c r="W48" s="101">
        <f t="shared" si="14"/>
        <v>762.52517543859631</v>
      </c>
      <c r="X48" s="50">
        <f t="shared" si="9"/>
        <v>56.657936711540479</v>
      </c>
      <c r="Y48" s="71"/>
      <c r="AB48" s="54">
        <f t="shared" si="10"/>
        <v>0.4334206328845952</v>
      </c>
    </row>
    <row r="49" spans="1:28" x14ac:dyDescent="0.25">
      <c r="A49" s="41">
        <v>37</v>
      </c>
      <c r="B49" s="42">
        <v>39601</v>
      </c>
      <c r="C49" s="43"/>
      <c r="D49" s="55">
        <v>440</v>
      </c>
      <c r="E49" s="56">
        <f>+D49-D48</f>
        <v>20</v>
      </c>
      <c r="F49" s="41">
        <v>9.3556133750000004E-5</v>
      </c>
      <c r="G49" s="72">
        <f>+'[1]Con 10hP4'!E50</f>
        <v>1.3816403508771931</v>
      </c>
      <c r="H49" s="99">
        <f t="shared" si="1"/>
        <v>1.1486970348688856</v>
      </c>
      <c r="I49" s="47">
        <f t="shared" si="12"/>
        <v>27.632807017543861</v>
      </c>
      <c r="J49" s="47">
        <f>+G49/I91</f>
        <v>1.026600012110083E-3</v>
      </c>
      <c r="K49" s="48">
        <f>+I49/I91</f>
        <v>2.053200024220166E-2</v>
      </c>
      <c r="L49" s="49">
        <f t="shared" si="0"/>
        <v>9.0340801065687302</v>
      </c>
      <c r="M49" s="45">
        <f t="shared" si="15"/>
        <v>1.0266000121100831</v>
      </c>
      <c r="N49" s="51">
        <f t="shared" si="2"/>
        <v>1.2347757759443228</v>
      </c>
      <c r="O49" s="51">
        <f t="shared" si="3"/>
        <v>0.3306941959974134</v>
      </c>
      <c r="P49" s="51">
        <f t="shared" si="4"/>
        <v>0.51519393450101847</v>
      </c>
      <c r="Q49" s="52">
        <f t="shared" si="5"/>
        <v>0.40593856131700007</v>
      </c>
      <c r="R49" s="51">
        <f t="shared" si="6"/>
        <v>0.58625125178436721</v>
      </c>
      <c r="S49" s="50">
        <f t="shared" si="7"/>
        <v>0.37935314744935805</v>
      </c>
      <c r="T49" s="57">
        <f t="shared" si="16"/>
        <v>23.200504771929825</v>
      </c>
      <c r="U49" s="50">
        <f t="shared" si="8"/>
        <v>1.8560403817543858</v>
      </c>
      <c r="V49" s="58">
        <f t="shared" si="13"/>
        <v>53.073331365614031</v>
      </c>
      <c r="W49" s="101">
        <f t="shared" si="14"/>
        <v>790.15798245614019</v>
      </c>
      <c r="X49" s="50">
        <f t="shared" si="9"/>
        <v>58.711138207821158</v>
      </c>
      <c r="Y49" s="19"/>
      <c r="Z49" s="3"/>
      <c r="AB49" s="54">
        <f t="shared" si="10"/>
        <v>0.41288861792178844</v>
      </c>
    </row>
    <row r="50" spans="1:28" x14ac:dyDescent="0.25">
      <c r="A50" s="41">
        <v>38</v>
      </c>
      <c r="B50" s="42">
        <v>39601</v>
      </c>
      <c r="C50" s="43"/>
      <c r="D50" s="55">
        <v>460</v>
      </c>
      <c r="E50" s="56">
        <f t="shared" si="11"/>
        <v>20</v>
      </c>
      <c r="F50" s="41">
        <v>9.3556133750000004E-5</v>
      </c>
      <c r="G50" s="72">
        <f>+'[1]Con 10hP4'!E51</f>
        <v>1.3816403508771931</v>
      </c>
      <c r="H50" s="99">
        <f t="shared" si="1"/>
        <v>1.0546634910149353</v>
      </c>
      <c r="I50" s="47">
        <f t="shared" si="12"/>
        <v>27.632807017543861</v>
      </c>
      <c r="J50" s="47">
        <f>+G50/I91</f>
        <v>1.026600012110083E-3</v>
      </c>
      <c r="K50" s="48">
        <f>+I50/I91</f>
        <v>2.053200024220166E-2</v>
      </c>
      <c r="L50" s="49">
        <f t="shared" si="0"/>
        <v>9.4447201114127637</v>
      </c>
      <c r="M50" s="45">
        <f t="shared" si="15"/>
        <v>1.0266000121100831</v>
      </c>
      <c r="N50" s="51">
        <f t="shared" si="2"/>
        <v>1.2909019475781556</v>
      </c>
      <c r="O50" s="51">
        <f t="shared" si="3"/>
        <v>0.3306941959974134</v>
      </c>
      <c r="P50" s="51">
        <f t="shared" si="4"/>
        <v>0.50135043667560153</v>
      </c>
      <c r="Q50" s="52">
        <f t="shared" si="5"/>
        <v>0.39940376415983364</v>
      </c>
      <c r="R50" s="51">
        <f t="shared" si="6"/>
        <v>0.55532995107707295</v>
      </c>
      <c r="S50" s="50">
        <f t="shared" si="7"/>
        <v>0.35512280866778456</v>
      </c>
      <c r="T50" s="57">
        <f t="shared" si="16"/>
        <v>23.200504771929825</v>
      </c>
      <c r="U50" s="50">
        <f t="shared" si="8"/>
        <v>1.8560403817543858</v>
      </c>
      <c r="V50" s="58">
        <f t="shared" si="13"/>
        <v>54.929371747368414</v>
      </c>
      <c r="W50" s="101">
        <f t="shared" si="14"/>
        <v>817.79078947368407</v>
      </c>
      <c r="X50" s="50">
        <f t="shared" si="9"/>
        <v>60.764339704101836</v>
      </c>
      <c r="Y50" s="19"/>
      <c r="Z50" s="3"/>
      <c r="AB50" s="54">
        <f t="shared" si="10"/>
        <v>0.39235660295898167</v>
      </c>
    </row>
    <row r="51" spans="1:28" x14ac:dyDescent="0.25">
      <c r="A51" s="41">
        <v>39</v>
      </c>
      <c r="B51" s="42">
        <v>39601</v>
      </c>
      <c r="C51" s="43"/>
      <c r="D51" s="55">
        <v>480</v>
      </c>
      <c r="E51" s="56">
        <f t="shared" si="11"/>
        <v>20</v>
      </c>
      <c r="F51" s="41">
        <v>9.3556133750000004E-5</v>
      </c>
      <c r="G51" s="67">
        <f>+'[1]Con 10hP4'!E52</f>
        <v>1.2171666666666665</v>
      </c>
      <c r="H51" s="99">
        <f t="shared" si="1"/>
        <v>0.96946526427627344</v>
      </c>
      <c r="I51" s="47">
        <f t="shared" si="12"/>
        <v>24.34333333333333</v>
      </c>
      <c r="J51" s="47">
        <f>+G51/I91</f>
        <v>9.0439115645881611E-4</v>
      </c>
      <c r="K51" s="48">
        <f>+I51/I91</f>
        <v>1.8087823129176322E-2</v>
      </c>
      <c r="L51" s="49">
        <f t="shared" si="0"/>
        <v>8.6821551020046339</v>
      </c>
      <c r="M51" s="45">
        <f t="shared" si="15"/>
        <v>0.90439115645881607</v>
      </c>
      <c r="N51" s="51">
        <f t="shared" si="2"/>
        <v>1.3470281192119884</v>
      </c>
      <c r="O51" s="51">
        <f t="shared" si="3"/>
        <v>0.29132758895803412</v>
      </c>
      <c r="P51" s="51">
        <f t="shared" si="4"/>
        <v>0.48504947119004627</v>
      </c>
      <c r="Q51" s="52">
        <f t="shared" si="5"/>
        <v>0.39161466590547223</v>
      </c>
      <c r="R51" s="51">
        <f t="shared" si="6"/>
        <v>0.52418179905523354</v>
      </c>
      <c r="S51" s="50">
        <f t="shared" si="7"/>
        <v>0.33190833582025708</v>
      </c>
      <c r="T51" s="57">
        <f t="shared" si="16"/>
        <v>20.438662666666666</v>
      </c>
      <c r="U51" s="50">
        <f t="shared" si="8"/>
        <v>1.6350930133333335</v>
      </c>
      <c r="V51" s="58">
        <f t="shared" si="13"/>
        <v>56.564464760701746</v>
      </c>
      <c r="W51" s="101">
        <f t="shared" si="14"/>
        <v>842.13412280701743</v>
      </c>
      <c r="X51" s="50">
        <f t="shared" si="9"/>
        <v>62.573123313842473</v>
      </c>
      <c r="Y51" s="73">
        <f>+((([1]Resumen!N10-G50)*(D51-D50))/(G51-G50))+D50</f>
        <v>460.67040000000003</v>
      </c>
      <c r="Z51" s="74" t="s">
        <v>78</v>
      </c>
      <c r="AB51" s="54">
        <f t="shared" si="10"/>
        <v>0.37426876686157529</v>
      </c>
    </row>
    <row r="52" spans="1:28" x14ac:dyDescent="0.25">
      <c r="A52" s="41">
        <v>40</v>
      </c>
      <c r="B52" s="42">
        <v>39601</v>
      </c>
      <c r="C52" s="43"/>
      <c r="D52" s="55">
        <v>510</v>
      </c>
      <c r="E52" s="56">
        <f t="shared" si="11"/>
        <v>30</v>
      </c>
      <c r="F52" s="41">
        <v>9.3556133750000004E-5</v>
      </c>
      <c r="G52" s="67">
        <f>+'[1]Con 10hP4'!E53</f>
        <v>1.1404122807017543</v>
      </c>
      <c r="H52" s="99">
        <f t="shared" si="1"/>
        <v>0.85621917870571385</v>
      </c>
      <c r="I52" s="47">
        <f t="shared" si="12"/>
        <v>34.212368421052631</v>
      </c>
      <c r="J52" s="47">
        <f>+G52/I91</f>
        <v>8.4736035715489173E-4</v>
      </c>
      <c r="K52" s="48">
        <f>+I52/I91</f>
        <v>2.5420810714646754E-2</v>
      </c>
      <c r="L52" s="49">
        <f t="shared" si="0"/>
        <v>12.964613464469844</v>
      </c>
      <c r="M52" s="45">
        <f t="shared" si="15"/>
        <v>0.84736035715489177</v>
      </c>
      <c r="N52" s="51">
        <f t="shared" si="2"/>
        <v>1.4312173766627376</v>
      </c>
      <c r="O52" s="51">
        <f t="shared" si="3"/>
        <v>0.27295650567299051</v>
      </c>
      <c r="P52" s="51">
        <f t="shared" si="4"/>
        <v>0.45657981516091811</v>
      </c>
      <c r="Q52" s="52">
        <f t="shared" si="5"/>
        <v>0.37775234408194747</v>
      </c>
      <c r="R52" s="51">
        <f t="shared" si="6"/>
        <v>0.47799808631743668</v>
      </c>
      <c r="S52" s="50">
        <f t="shared" si="7"/>
        <v>0.29908611387831729</v>
      </c>
      <c r="T52" s="57">
        <f t="shared" si="16"/>
        <v>28.724704526315787</v>
      </c>
      <c r="U52" s="50">
        <f t="shared" si="8"/>
        <v>2.2979763621052629</v>
      </c>
      <c r="V52" s="58">
        <f t="shared" si="13"/>
        <v>58.862441122807006</v>
      </c>
      <c r="W52" s="101">
        <f t="shared" si="14"/>
        <v>876.34649122807002</v>
      </c>
      <c r="X52" s="50">
        <f t="shared" si="9"/>
        <v>65.115206207875389</v>
      </c>
      <c r="Y52" s="19"/>
      <c r="AB52" s="54">
        <f t="shared" si="10"/>
        <v>0.34884793792124613</v>
      </c>
    </row>
    <row r="53" spans="1:28" x14ac:dyDescent="0.25">
      <c r="A53" s="41">
        <v>41</v>
      </c>
      <c r="B53" s="42">
        <v>39601</v>
      </c>
      <c r="C53" s="43"/>
      <c r="D53" s="55">
        <v>540</v>
      </c>
      <c r="E53" s="56">
        <f t="shared" si="11"/>
        <v>30</v>
      </c>
      <c r="F53" s="41">
        <v>9.3556133750000004E-5</v>
      </c>
      <c r="G53" s="67">
        <f>+'[1]Con 10hP4'!E54</f>
        <v>1.063657894736842</v>
      </c>
      <c r="H53" s="99">
        <f t="shared" si="1"/>
        <v>0.7580548593749622</v>
      </c>
      <c r="I53" s="47">
        <f t="shared" si="12"/>
        <v>31.909736842105261</v>
      </c>
      <c r="J53" s="47">
        <f>+G53/I91</f>
        <v>7.9032955785096734E-4</v>
      </c>
      <c r="K53" s="48">
        <f>+I53/I91</f>
        <v>2.3709886735529019E-2</v>
      </c>
      <c r="L53" s="49">
        <f t="shared" si="0"/>
        <v>12.80333883718567</v>
      </c>
      <c r="M53" s="45">
        <f t="shared" si="15"/>
        <v>0.79032955785096737</v>
      </c>
      <c r="N53" s="51">
        <f t="shared" si="2"/>
        <v>1.5154066341134871</v>
      </c>
      <c r="O53" s="51">
        <f t="shared" si="3"/>
        <v>0.25458542238794685</v>
      </c>
      <c r="P53" s="51">
        <f t="shared" si="4"/>
        <v>0.42419333373935841</v>
      </c>
      <c r="Q53" s="52">
        <f t="shared" si="5"/>
        <v>0.36155054713153051</v>
      </c>
      <c r="R53" s="51">
        <f t="shared" si="6"/>
        <v>0.43341399415164827</v>
      </c>
      <c r="S53" s="50">
        <f t="shared" si="7"/>
        <v>0.26872041347251346</v>
      </c>
      <c r="T53" s="57">
        <f t="shared" si="16"/>
        <v>26.791415052631578</v>
      </c>
      <c r="U53" s="50">
        <f t="shared" si="8"/>
        <v>2.1433132042105263</v>
      </c>
      <c r="V53" s="58">
        <f t="shared" si="13"/>
        <v>61.005754327017534</v>
      </c>
      <c r="W53" s="101">
        <f t="shared" si="14"/>
        <v>908.25622807017533</v>
      </c>
      <c r="X53" s="50">
        <f t="shared" si="9"/>
        <v>67.486196581330276</v>
      </c>
      <c r="Y53" s="77"/>
      <c r="Z53" s="66"/>
      <c r="AB53" s="54">
        <f t="shared" si="10"/>
        <v>0.32513803418669729</v>
      </c>
    </row>
    <row r="54" spans="1:28" x14ac:dyDescent="0.25">
      <c r="A54" s="41">
        <v>42</v>
      </c>
      <c r="B54" s="42">
        <v>39601</v>
      </c>
      <c r="C54" s="43"/>
      <c r="D54" s="55">
        <v>570</v>
      </c>
      <c r="E54" s="56">
        <f t="shared" si="11"/>
        <v>30</v>
      </c>
      <c r="F54" s="41">
        <v>9.3556133750000004E-5</v>
      </c>
      <c r="G54" s="67">
        <f>+'[1]Con 10hP4'!E55</f>
        <v>0.97593859649122805</v>
      </c>
      <c r="H54" s="99">
        <f t="shared" si="1"/>
        <v>0.67270351592263167</v>
      </c>
      <c r="I54" s="47">
        <f t="shared" si="12"/>
        <v>29.278157894736843</v>
      </c>
      <c r="J54" s="47">
        <f>+G54/I91</f>
        <v>7.2515150150362514E-4</v>
      </c>
      <c r="K54" s="48">
        <f>+I54/I91</f>
        <v>2.1754545045108757E-2</v>
      </c>
      <c r="L54" s="49">
        <f t="shared" si="0"/>
        <v>12.400090675711992</v>
      </c>
      <c r="M54" s="45">
        <f t="shared" si="15"/>
        <v>0.72515150150362517</v>
      </c>
      <c r="N54" s="51">
        <f t="shared" si="2"/>
        <v>1.5995958915642363</v>
      </c>
      <c r="O54" s="51">
        <f t="shared" si="3"/>
        <v>0.23358989863361132</v>
      </c>
      <c r="P54" s="51">
        <f t="shared" si="4"/>
        <v>0.38898014090137056</v>
      </c>
      <c r="Q54" s="52">
        <f t="shared" si="5"/>
        <v>0.34335589891774332</v>
      </c>
      <c r="R54" s="51">
        <f t="shared" si="6"/>
        <v>0.39114633037703483</v>
      </c>
      <c r="S54" s="50">
        <f t="shared" si="7"/>
        <v>0.2408070454967183</v>
      </c>
      <c r="T54" s="57">
        <f t="shared" si="16"/>
        <v>24.581941368421052</v>
      </c>
      <c r="U54" s="50">
        <f t="shared" si="8"/>
        <v>1.9665553094736843</v>
      </c>
      <c r="V54" s="58">
        <f t="shared" si="13"/>
        <v>62.972309636491218</v>
      </c>
      <c r="W54" s="101">
        <f t="shared" si="14"/>
        <v>937.53438596491219</v>
      </c>
      <c r="X54" s="50">
        <f t="shared" si="9"/>
        <v>69.661652645553133</v>
      </c>
      <c r="Y54" s="19"/>
      <c r="AB54" s="54">
        <f t="shared" si="10"/>
        <v>0.30338347354446871</v>
      </c>
    </row>
    <row r="55" spans="1:28" x14ac:dyDescent="0.25">
      <c r="A55" s="41">
        <v>43</v>
      </c>
      <c r="B55" s="42">
        <v>39601</v>
      </c>
      <c r="C55" s="43"/>
      <c r="D55" s="55">
        <v>600</v>
      </c>
      <c r="E55" s="56">
        <f t="shared" si="11"/>
        <v>30</v>
      </c>
      <c r="F55" s="41">
        <v>9.3556133750000004E-5</v>
      </c>
      <c r="G55" s="67">
        <f>+'[1]Con 10hP4'!E56</f>
        <v>0.92111403508771916</v>
      </c>
      <c r="H55" s="99">
        <f t="shared" si="1"/>
        <v>0.59827162999667338</v>
      </c>
      <c r="I55" s="47">
        <f t="shared" si="12"/>
        <v>27.633421052631576</v>
      </c>
      <c r="J55" s="47">
        <f>+G55/I91</f>
        <v>6.8441521628653617E-4</v>
      </c>
      <c r="K55" s="48">
        <f>+I55/I91</f>
        <v>2.0532456488596088E-2</v>
      </c>
      <c r="L55" s="49">
        <f t="shared" si="0"/>
        <v>12.319473893157653</v>
      </c>
      <c r="M55" s="45">
        <f t="shared" si="15"/>
        <v>0.68441521628653612</v>
      </c>
      <c r="N55" s="51">
        <f t="shared" si="2"/>
        <v>1.6837851490149855</v>
      </c>
      <c r="O55" s="51">
        <f t="shared" si="3"/>
        <v>0.22046769628715154</v>
      </c>
      <c r="P55" s="51">
        <f t="shared" si="4"/>
        <v>0.35205253686205706</v>
      </c>
      <c r="Q55" s="52">
        <f t="shared" si="5"/>
        <v>0.32354421415720758</v>
      </c>
      <c r="R55" s="51">
        <f t="shared" si="6"/>
        <v>0.35161954571859649</v>
      </c>
      <c r="S55" s="50">
        <f t="shared" si="7"/>
        <v>0.21528730532713114</v>
      </c>
      <c r="T55" s="57">
        <f t="shared" si="16"/>
        <v>23.201020315789471</v>
      </c>
      <c r="U55" s="50">
        <f t="shared" si="8"/>
        <v>1.8560816252631576</v>
      </c>
      <c r="V55" s="58">
        <f t="shared" si="13"/>
        <v>64.828391261754376</v>
      </c>
      <c r="W55" s="101">
        <f t="shared" si="14"/>
        <v>965.16780701754374</v>
      </c>
      <c r="X55" s="50">
        <f t="shared" si="9"/>
        <v>71.714899766505951</v>
      </c>
      <c r="Y55" s="19"/>
      <c r="AB55" s="54">
        <f t="shared" si="10"/>
        <v>0.28285100233494054</v>
      </c>
    </row>
    <row r="56" spans="1:28" x14ac:dyDescent="0.25">
      <c r="A56" s="41">
        <v>44</v>
      </c>
      <c r="B56" s="42">
        <v>39601</v>
      </c>
      <c r="C56" s="43"/>
      <c r="D56" s="55">
        <v>630</v>
      </c>
      <c r="E56" s="56">
        <f t="shared" si="11"/>
        <v>30</v>
      </c>
      <c r="F56" s="41">
        <v>9.3556133750000004E-5</v>
      </c>
      <c r="G56" s="67">
        <f>+'[1]Con 10hP4'!E57</f>
        <v>0.91014912280701743</v>
      </c>
      <c r="H56" s="99">
        <f t="shared" si="1"/>
        <v>0.53317596385981059</v>
      </c>
      <c r="I56" s="47">
        <f t="shared" si="12"/>
        <v>27.304473684210524</v>
      </c>
      <c r="J56" s="47">
        <f>+G56/I91</f>
        <v>6.7626795924311846E-4</v>
      </c>
      <c r="K56" s="48">
        <f>+I56/I91</f>
        <v>2.0288038777293554E-2</v>
      </c>
      <c r="L56" s="49">
        <f t="shared" si="0"/>
        <v>12.781464429694939</v>
      </c>
      <c r="M56" s="45">
        <f t="shared" si="15"/>
        <v>0.67626795924311844</v>
      </c>
      <c r="N56" s="51">
        <f t="shared" si="2"/>
        <v>1.7679744064657348</v>
      </c>
      <c r="O56" s="51">
        <f t="shared" si="3"/>
        <v>0.2178432558178596</v>
      </c>
      <c r="P56" s="51">
        <f t="shared" si="4"/>
        <v>0.31448793278889409</v>
      </c>
      <c r="Q56" s="52">
        <f t="shared" si="5"/>
        <v>0.3025076748696941</v>
      </c>
      <c r="R56" s="51">
        <f t="shared" si="6"/>
        <v>0.31504649195718692</v>
      </c>
      <c r="S56" s="50">
        <f t="shared" si="7"/>
        <v>0.19206483736657137</v>
      </c>
      <c r="T56" s="57">
        <f t="shared" si="16"/>
        <v>22.924836105263154</v>
      </c>
      <c r="U56" s="50">
        <f t="shared" si="8"/>
        <v>1.8339868884210524</v>
      </c>
      <c r="V56" s="58">
        <f t="shared" si="13"/>
        <v>66.662378150175428</v>
      </c>
      <c r="W56" s="101">
        <f t="shared" si="14"/>
        <v>992.47228070175424</v>
      </c>
      <c r="X56" s="50">
        <f t="shared" si="9"/>
        <v>73.743705098804782</v>
      </c>
      <c r="Y56" s="19"/>
      <c r="AB56" s="54">
        <f t="shared" si="10"/>
        <v>0.26256294901195221</v>
      </c>
    </row>
    <row r="57" spans="1:28" x14ac:dyDescent="0.25">
      <c r="A57" s="41">
        <v>45</v>
      </c>
      <c r="B57" s="42">
        <v>39601</v>
      </c>
      <c r="C57" s="43"/>
      <c r="D57" s="55">
        <v>660</v>
      </c>
      <c r="E57" s="56">
        <f t="shared" si="11"/>
        <v>30</v>
      </c>
      <c r="F57" s="41">
        <v>9.3556133750000004E-5</v>
      </c>
      <c r="G57" s="67">
        <f>+'[1]Con 10hP4'!E58</f>
        <v>0.81146491228070172</v>
      </c>
      <c r="H57" s="99">
        <f t="shared" si="1"/>
        <v>0.47608924025274707</v>
      </c>
      <c r="I57" s="47">
        <f t="shared" si="12"/>
        <v>24.343947368421052</v>
      </c>
      <c r="J57" s="47">
        <f>+G57/I91</f>
        <v>6.0294264585235855E-4</v>
      </c>
      <c r="K57" s="48">
        <f>+I57/I91</f>
        <v>1.8088279375570757E-2</v>
      </c>
      <c r="L57" s="49">
        <f t="shared" si="0"/>
        <v>11.9382643878767</v>
      </c>
      <c r="M57" s="45">
        <f t="shared" si="15"/>
        <v>0.60294264585235857</v>
      </c>
      <c r="N57" s="51">
        <f t="shared" si="2"/>
        <v>1.852163663916484</v>
      </c>
      <c r="O57" s="51">
        <f t="shared" si="3"/>
        <v>0.1942232915942321</v>
      </c>
      <c r="P57" s="51">
        <f t="shared" si="4"/>
        <v>0.27727898283661395</v>
      </c>
      <c r="Q57" s="52">
        <f t="shared" si="5"/>
        <v>0.2806420810011987</v>
      </c>
      <c r="R57" s="51">
        <f t="shared" si="6"/>
        <v>0.28149001577295374</v>
      </c>
      <c r="S57" s="50">
        <f t="shared" si="7"/>
        <v>0.17101851178366148</v>
      </c>
      <c r="T57" s="57">
        <f t="shared" si="16"/>
        <v>20.439178210526315</v>
      </c>
      <c r="U57" s="50">
        <f t="shared" si="8"/>
        <v>1.6351342568421052</v>
      </c>
      <c r="V57" s="58">
        <f t="shared" si="13"/>
        <v>68.297512407017535</v>
      </c>
      <c r="W57" s="101">
        <f t="shared" si="14"/>
        <v>1016.8162280701753</v>
      </c>
      <c r="X57" s="50">
        <f t="shared" si="9"/>
        <v>75.552534333217565</v>
      </c>
      <c r="Y57" s="19"/>
      <c r="AB57" s="54">
        <f t="shared" si="10"/>
        <v>0.24447465666782431</v>
      </c>
    </row>
    <row r="58" spans="1:28" x14ac:dyDescent="0.25">
      <c r="A58" s="41">
        <v>46</v>
      </c>
      <c r="B58" s="42">
        <v>39601</v>
      </c>
      <c r="C58" s="43"/>
      <c r="D58" s="55">
        <v>690</v>
      </c>
      <c r="E58" s="56">
        <f t="shared" si="11"/>
        <v>30</v>
      </c>
      <c r="F58" s="41">
        <v>9.3556133750000004E-5</v>
      </c>
      <c r="G58" s="67">
        <f>+'[1]Con 10hP4'!E59</f>
        <v>0.77857017543859641</v>
      </c>
      <c r="H58" s="99">
        <f t="shared" si="1"/>
        <v>0.42589534262092316</v>
      </c>
      <c r="I58" s="47">
        <f t="shared" si="12"/>
        <v>23.357105263157891</v>
      </c>
      <c r="J58" s="47">
        <f>+G58/I91</f>
        <v>5.785008747221051E-4</v>
      </c>
      <c r="K58" s="48">
        <f>+I58/I91</f>
        <v>1.7355026241663154E-2</v>
      </c>
      <c r="L58" s="49">
        <f t="shared" si="0"/>
        <v>11.974968106747577</v>
      </c>
      <c r="M58" s="45">
        <f t="shared" si="15"/>
        <v>0.5785008747221051</v>
      </c>
      <c r="N58" s="51">
        <f t="shared" si="2"/>
        <v>1.9363529213672335</v>
      </c>
      <c r="O58" s="51">
        <f t="shared" si="3"/>
        <v>0.18634997018635624</v>
      </c>
      <c r="P58" s="51">
        <f t="shared" si="4"/>
        <v>0.24129391917039988</v>
      </c>
      <c r="Q58" s="52">
        <f t="shared" si="5"/>
        <v>0.25833474525493072</v>
      </c>
      <c r="R58" s="51">
        <f t="shared" si="6"/>
        <v>0.25090930268475203</v>
      </c>
      <c r="S58" s="50">
        <f t="shared" si="7"/>
        <v>0.1520121808519819</v>
      </c>
      <c r="T58" s="57">
        <f t="shared" si="16"/>
        <v>19.610625578947367</v>
      </c>
      <c r="U58" s="50">
        <f t="shared" si="8"/>
        <v>1.5688500463157895</v>
      </c>
      <c r="V58" s="58">
        <f t="shared" si="13"/>
        <v>69.866362453333323</v>
      </c>
      <c r="W58" s="101">
        <f t="shared" si="14"/>
        <v>1040.1733333333332</v>
      </c>
      <c r="X58" s="50">
        <f t="shared" si="9"/>
        <v>77.288038201668343</v>
      </c>
      <c r="AB58" s="54">
        <f t="shared" si="10"/>
        <v>0.22711961798331659</v>
      </c>
    </row>
    <row r="59" spans="1:28" x14ac:dyDescent="0.25">
      <c r="A59" s="41">
        <v>47</v>
      </c>
      <c r="B59" s="42">
        <v>39601</v>
      </c>
      <c r="C59" s="43"/>
      <c r="D59" s="55">
        <v>720</v>
      </c>
      <c r="E59" s="56">
        <f t="shared" si="11"/>
        <v>30</v>
      </c>
      <c r="F59" s="41">
        <v>9.3556133750000004E-5</v>
      </c>
      <c r="G59" s="67">
        <f>+'[1]Con 10hP4'!E60</f>
        <v>0.73471052631578937</v>
      </c>
      <c r="H59" s="99">
        <f t="shared" si="1"/>
        <v>0.38165261482195861</v>
      </c>
      <c r="I59" s="47">
        <f t="shared" si="12"/>
        <v>22.041315789473682</v>
      </c>
      <c r="J59" s="47">
        <f>+G59/I91</f>
        <v>5.4591184654843405E-4</v>
      </c>
      <c r="K59" s="48">
        <f>+I59/I91</f>
        <v>1.6377355396453023E-2</v>
      </c>
      <c r="L59" s="49">
        <f t="shared" si="0"/>
        <v>11.791695885446176</v>
      </c>
      <c r="M59" s="45">
        <f t="shared" si="15"/>
        <v>0.54591184654843405</v>
      </c>
      <c r="N59" s="51">
        <f t="shared" si="2"/>
        <v>2.0205421788179825</v>
      </c>
      <c r="O59" s="51">
        <f t="shared" si="3"/>
        <v>0.17585220830918846</v>
      </c>
      <c r="P59" s="51">
        <f t="shared" si="4"/>
        <v>0.207248913009205</v>
      </c>
      <c r="Q59" s="52">
        <f t="shared" si="5"/>
        <v>0.23595353359081261</v>
      </c>
      <c r="R59" s="51">
        <f t="shared" si="6"/>
        <v>0.22319433814750933</v>
      </c>
      <c r="S59" s="50">
        <f t="shared" si="7"/>
        <v>0.13490199561551985</v>
      </c>
      <c r="T59" s="57">
        <f t="shared" si="16"/>
        <v>18.505888736842103</v>
      </c>
      <c r="U59" s="50">
        <f t="shared" si="8"/>
        <v>1.4804710989473682</v>
      </c>
      <c r="V59" s="58">
        <f t="shared" si="13"/>
        <v>71.346833552280685</v>
      </c>
      <c r="W59" s="101">
        <f t="shared" si="14"/>
        <v>1062.2146491228068</v>
      </c>
      <c r="X59" s="50">
        <f t="shared" si="9"/>
        <v>78.925774915503098</v>
      </c>
      <c r="Y59" s="77"/>
      <c r="Z59" s="105"/>
      <c r="AB59" s="54">
        <f t="shared" si="10"/>
        <v>0.210742250844969</v>
      </c>
    </row>
    <row r="60" spans="1:28" x14ac:dyDescent="0.25">
      <c r="A60" s="41">
        <v>48</v>
      </c>
      <c r="B60" s="42">
        <v>39601</v>
      </c>
      <c r="C60" s="43"/>
      <c r="D60" s="55">
        <v>750</v>
      </c>
      <c r="E60" s="56">
        <f t="shared" si="11"/>
        <v>30</v>
      </c>
      <c r="F60" s="41">
        <v>9.3556133750000004E-5</v>
      </c>
      <c r="G60" s="67">
        <f>+'[1]Con 10hP4'!E61</f>
        <v>0.6798859649122807</v>
      </c>
      <c r="H60" s="99">
        <f t="shared" si="1"/>
        <v>0.34256388080760747</v>
      </c>
      <c r="I60" s="47">
        <f t="shared" si="12"/>
        <v>20.396578947368422</v>
      </c>
      <c r="J60" s="47">
        <f>+G60/I91</f>
        <v>5.0517556133134519E-4</v>
      </c>
      <c r="K60" s="48">
        <f>+I60/I91</f>
        <v>1.5155266839940357E-2</v>
      </c>
      <c r="L60" s="49">
        <f t="shared" si="0"/>
        <v>11.366450129955268</v>
      </c>
      <c r="M60" s="45">
        <f t="shared" si="15"/>
        <v>0.50517556133134522</v>
      </c>
      <c r="N60" s="51">
        <f t="shared" si="2"/>
        <v>2.1047314362687319</v>
      </c>
      <c r="O60" s="51">
        <f t="shared" si="3"/>
        <v>0.16273000596272874</v>
      </c>
      <c r="P60" s="51">
        <f t="shared" si="4"/>
        <v>0.1756930589063333</v>
      </c>
      <c r="Q60" s="52">
        <f t="shared" si="5"/>
        <v>0.2138374587898729</v>
      </c>
      <c r="R60" s="51">
        <f t="shared" si="6"/>
        <v>0.19819124144061143</v>
      </c>
      <c r="S60" s="50">
        <f t="shared" si="7"/>
        <v>0.11954181874167205</v>
      </c>
      <c r="T60" s="57">
        <f t="shared" si="16"/>
        <v>17.124967684210528</v>
      </c>
      <c r="U60" s="50">
        <f t="shared" si="8"/>
        <v>1.3699974147368423</v>
      </c>
      <c r="V60" s="58">
        <f t="shared" si="13"/>
        <v>72.716830967017529</v>
      </c>
      <c r="W60" s="101">
        <f t="shared" si="14"/>
        <v>1082.6112280701752</v>
      </c>
      <c r="X60" s="50">
        <f t="shared" si="9"/>
        <v>80.441302686067829</v>
      </c>
      <c r="AB60" s="54">
        <f t="shared" si="10"/>
        <v>0.19558697313932172</v>
      </c>
    </row>
    <row r="61" spans="1:28" x14ac:dyDescent="0.25">
      <c r="A61" s="41">
        <v>49</v>
      </c>
      <c r="B61" s="42">
        <v>39601</v>
      </c>
      <c r="C61" s="43"/>
      <c r="D61" s="55">
        <v>780</v>
      </c>
      <c r="E61" s="56">
        <f t="shared" si="11"/>
        <v>30</v>
      </c>
      <c r="F61" s="41">
        <v>9.3556133750000004E-5</v>
      </c>
      <c r="G61" s="67">
        <f>+'[1]Con 10hP4'!E62</f>
        <v>0.75664035087719295</v>
      </c>
      <c r="H61" s="99">
        <f t="shared" si="1"/>
        <v>0.30795196421780824</v>
      </c>
      <c r="I61" s="47">
        <f t="shared" si="12"/>
        <v>22.699210526315788</v>
      </c>
      <c r="J61" s="47">
        <f>+G61/I91</f>
        <v>5.6220636063526968E-4</v>
      </c>
      <c r="K61" s="48">
        <f>+I61/I91</f>
        <v>1.6866190819058088E-2</v>
      </c>
      <c r="L61" s="49">
        <f t="shared" si="0"/>
        <v>13.15562883886531</v>
      </c>
      <c r="M61" s="45">
        <f t="shared" si="15"/>
        <v>0.56220636063526963</v>
      </c>
      <c r="N61" s="51">
        <f t="shared" si="2"/>
        <v>2.1889206937194814</v>
      </c>
      <c r="O61" s="51">
        <f t="shared" si="3"/>
        <v>0.18110108924777238</v>
      </c>
      <c r="P61" s="51">
        <f t="shared" si="4"/>
        <v>0.14700543981411338</v>
      </c>
      <c r="Q61" s="52">
        <f t="shared" si="5"/>
        <v>0.1922891229611868</v>
      </c>
      <c r="R61" s="51">
        <f t="shared" si="6"/>
        <v>0.17572066254789181</v>
      </c>
      <c r="S61" s="50">
        <f t="shared" si="7"/>
        <v>0.10578715619183621</v>
      </c>
      <c r="T61" s="57">
        <f t="shared" si="16"/>
        <v>19.058257157894733</v>
      </c>
      <c r="U61" s="50">
        <f t="shared" si="8"/>
        <v>1.5246605726315787</v>
      </c>
      <c r="V61" s="58">
        <f t="shared" si="13"/>
        <v>74.241491539649104</v>
      </c>
      <c r="W61" s="101">
        <f t="shared" si="14"/>
        <v>1105.3104385964909</v>
      </c>
      <c r="X61" s="50">
        <f t="shared" si="9"/>
        <v>82.127922977210588</v>
      </c>
      <c r="Y61" s="19"/>
      <c r="AB61" s="54">
        <f t="shared" si="10"/>
        <v>0.17872077022789412</v>
      </c>
    </row>
    <row r="62" spans="1:28" x14ac:dyDescent="0.25">
      <c r="A62" s="41">
        <v>50</v>
      </c>
      <c r="B62" s="42">
        <v>39601</v>
      </c>
      <c r="C62" s="43"/>
      <c r="D62" s="55">
        <v>810</v>
      </c>
      <c r="E62" s="56">
        <f t="shared" si="11"/>
        <v>30</v>
      </c>
      <c r="F62" s="41">
        <v>9.3556133750000004E-5</v>
      </c>
      <c r="G62" s="67">
        <f>+'[1]Con 10hP4'!E63</f>
        <v>0.66892105263157897</v>
      </c>
      <c r="H62" s="99">
        <f t="shared" si="1"/>
        <v>0.2772396771267695</v>
      </c>
      <c r="I62" s="47">
        <f t="shared" si="12"/>
        <v>20.06763157894737</v>
      </c>
      <c r="J62" s="47">
        <f>+G62/I91</f>
        <v>4.9702830428792748E-4</v>
      </c>
      <c r="K62" s="48">
        <f>+I62/I91</f>
        <v>1.4910849128637825E-2</v>
      </c>
      <c r="L62" s="49">
        <f t="shared" si="0"/>
        <v>12.077787794196638</v>
      </c>
      <c r="M62" s="45">
        <f t="shared" si="15"/>
        <v>0.49702830428792749</v>
      </c>
      <c r="N62" s="51">
        <f t="shared" si="2"/>
        <v>2.2731099511702304</v>
      </c>
      <c r="O62" s="51">
        <f t="shared" si="3"/>
        <v>0.1601055654934368</v>
      </c>
      <c r="P62" s="51">
        <f t="shared" si="4"/>
        <v>0.12140278959993302</v>
      </c>
      <c r="Q62" s="52">
        <f t="shared" si="5"/>
        <v>0.17156918464778353</v>
      </c>
      <c r="R62" s="51">
        <f t="shared" si="6"/>
        <v>0.15559095088821084</v>
      </c>
      <c r="S62" s="50">
        <f t="shared" si="7"/>
        <v>9.3497941342862489E-2</v>
      </c>
      <c r="T62" s="57">
        <f t="shared" si="16"/>
        <v>16.848783473684211</v>
      </c>
      <c r="U62" s="50">
        <f t="shared" si="8"/>
        <v>1.3479026778947367</v>
      </c>
      <c r="V62" s="58">
        <f t="shared" si="13"/>
        <v>75.589394217543841</v>
      </c>
      <c r="W62" s="101">
        <f t="shared" si="14"/>
        <v>1125.3780701754383</v>
      </c>
      <c r="X62" s="50">
        <f t="shared" si="9"/>
        <v>83.619008959121317</v>
      </c>
      <c r="Y62" s="19"/>
      <c r="AB62" s="54">
        <f t="shared" si="10"/>
        <v>0.16380991040878679</v>
      </c>
    </row>
    <row r="63" spans="1:28" x14ac:dyDescent="0.25">
      <c r="A63" s="41">
        <v>51</v>
      </c>
      <c r="B63" s="42">
        <v>39601</v>
      </c>
      <c r="C63" s="43"/>
      <c r="D63" s="55">
        <v>840</v>
      </c>
      <c r="E63" s="56">
        <f t="shared" si="11"/>
        <v>30</v>
      </c>
      <c r="F63" s="41">
        <v>9.3556133750000004E-5</v>
      </c>
      <c r="G63" s="67">
        <f>+'[1]Con 10hP4'!E64</f>
        <v>0.71278070175438579</v>
      </c>
      <c r="H63" s="99">
        <f t="shared" si="1"/>
        <v>0.24993342839806282</v>
      </c>
      <c r="I63" s="47">
        <f t="shared" si="12"/>
        <v>21.383421052631572</v>
      </c>
      <c r="J63" s="47">
        <f>+G63/I91</f>
        <v>5.2961733246159842E-4</v>
      </c>
      <c r="K63" s="48">
        <f>+I63/I91</f>
        <v>1.588851997384795E-2</v>
      </c>
      <c r="L63" s="49">
        <f t="shared" si="0"/>
        <v>13.346356778032279</v>
      </c>
      <c r="M63" s="45">
        <f t="shared" si="15"/>
        <v>0.52961733246159837</v>
      </c>
      <c r="N63" s="51">
        <f t="shared" si="2"/>
        <v>2.3572992086209799</v>
      </c>
      <c r="O63" s="51">
        <f t="shared" si="3"/>
        <v>0.17060332737060455</v>
      </c>
      <c r="P63" s="51">
        <f t="shared" si="4"/>
        <v>9.8955602007859716E-2</v>
      </c>
      <c r="Q63" s="52">
        <f t="shared" si="5"/>
        <v>0.15189290596749669</v>
      </c>
      <c r="R63" s="51">
        <f t="shared" si="6"/>
        <v>0.13760741279266955</v>
      </c>
      <c r="S63" s="50">
        <f t="shared" si="7"/>
        <v>8.2540434950427385E-2</v>
      </c>
      <c r="T63" s="57">
        <f t="shared" si="16"/>
        <v>17.953520315789468</v>
      </c>
      <c r="U63" s="50">
        <f t="shared" si="8"/>
        <v>1.4362816252631574</v>
      </c>
      <c r="V63" s="58">
        <f t="shared" si="13"/>
        <v>77.025675842807004</v>
      </c>
      <c r="W63" s="101">
        <f t="shared" si="14"/>
        <v>1146.7614912280699</v>
      </c>
      <c r="X63" s="50">
        <f t="shared" si="9"/>
        <v>85.207862095648068</v>
      </c>
      <c r="Y63" s="19"/>
      <c r="AB63" s="54">
        <f t="shared" si="10"/>
        <v>0.14792137904351932</v>
      </c>
    </row>
    <row r="64" spans="1:28" x14ac:dyDescent="0.25">
      <c r="A64" s="41">
        <v>52</v>
      </c>
      <c r="B64" s="42">
        <v>39601</v>
      </c>
      <c r="C64" s="43"/>
      <c r="D64" s="55">
        <v>900</v>
      </c>
      <c r="E64" s="56">
        <f t="shared" si="11"/>
        <v>60</v>
      </c>
      <c r="F64" s="41">
        <v>9.3556133750000004E-5</v>
      </c>
      <c r="G64" s="67">
        <f>+'[1]Con 10hP4'!E65</f>
        <v>0.64699122807017539</v>
      </c>
      <c r="H64" s="99">
        <f t="shared" si="1"/>
        <v>0.20390426155456251</v>
      </c>
      <c r="I64" s="47">
        <f t="shared" si="12"/>
        <v>38.819473684210521</v>
      </c>
      <c r="J64" s="47">
        <f>+G64/I91</f>
        <v>4.8073379020109185E-4</v>
      </c>
      <c r="K64" s="48">
        <f>+I64/I91</f>
        <v>2.8844027412065511E-2</v>
      </c>
      <c r="L64" s="49">
        <f t="shared" si="0"/>
        <v>25.959624670858961</v>
      </c>
      <c r="M64" s="45">
        <f t="shared" si="15"/>
        <v>0.48073379020109186</v>
      </c>
      <c r="N64" s="51">
        <f t="shared" si="2"/>
        <v>2.5256777235224783</v>
      </c>
      <c r="O64" s="51">
        <f t="shared" si="3"/>
        <v>0.15485668455485291</v>
      </c>
      <c r="P64" s="51">
        <f t="shared" si="4"/>
        <v>6.3213989481140431E-2</v>
      </c>
      <c r="Q64" s="52">
        <f t="shared" si="5"/>
        <v>0.11629868462165005</v>
      </c>
      <c r="R64" s="51">
        <f t="shared" si="6"/>
        <v>0.1073208389760834</v>
      </c>
      <c r="S64" s="50">
        <f t="shared" si="7"/>
        <v>6.4124056253446624E-2</v>
      </c>
      <c r="T64" s="57">
        <f t="shared" si="16"/>
        <v>32.592830105263154</v>
      </c>
      <c r="U64" s="50">
        <f t="shared" si="8"/>
        <v>2.6074264084210523</v>
      </c>
      <c r="V64" s="58">
        <f t="shared" si="13"/>
        <v>79.633102251228053</v>
      </c>
      <c r="W64" s="101">
        <f t="shared" si="14"/>
        <v>1185.5809649122805</v>
      </c>
      <c r="X64" s="50">
        <f t="shared" si="9"/>
        <v>88.092266904853517</v>
      </c>
      <c r="Y64" s="19"/>
      <c r="AB64" s="54">
        <f t="shared" si="10"/>
        <v>0.11907733095146478</v>
      </c>
    </row>
    <row r="65" spans="1:28" x14ac:dyDescent="0.25">
      <c r="A65" s="41">
        <v>53</v>
      </c>
      <c r="B65" s="42">
        <v>39601</v>
      </c>
      <c r="C65" s="43"/>
      <c r="D65" s="55">
        <v>960</v>
      </c>
      <c r="E65" s="56">
        <f t="shared" si="11"/>
        <v>60</v>
      </c>
      <c r="F65" s="41">
        <v>9.3556133750000004E-5</v>
      </c>
      <c r="G65" s="67">
        <f>+'[1]Con 10hP4'!E66</f>
        <v>0.50444736842105253</v>
      </c>
      <c r="H65" s="99">
        <f t="shared" si="1"/>
        <v>0.16713189273468249</v>
      </c>
      <c r="I65" s="47">
        <f t="shared" si="12"/>
        <v>30.266842105263152</v>
      </c>
      <c r="J65" s="47">
        <f>+G65/I91</f>
        <v>3.7481944863666073E-4</v>
      </c>
      <c r="K65" s="48">
        <f>+I65/I91</f>
        <v>2.2489166918199646E-2</v>
      </c>
      <c r="L65" s="49">
        <f t="shared" si="0"/>
        <v>21.589600241471661</v>
      </c>
      <c r="M65" s="45">
        <f t="shared" si="15"/>
        <v>0.37481944863666072</v>
      </c>
      <c r="N65" s="51">
        <f t="shared" si="2"/>
        <v>2.6940562384239768</v>
      </c>
      <c r="O65" s="51">
        <f t="shared" si="3"/>
        <v>0.12073895845405758</v>
      </c>
      <c r="P65" s="51">
        <f t="shared" si="4"/>
        <v>3.8322324991713341E-2</v>
      </c>
      <c r="Q65" s="52">
        <f t="shared" si="5"/>
        <v>8.6311100465390853E-2</v>
      </c>
      <c r="R65" s="51">
        <f t="shared" si="6"/>
        <v>8.3434841706793744E-2</v>
      </c>
      <c r="S65" s="50">
        <f t="shared" si="7"/>
        <v>4.9629333119368554E-2</v>
      </c>
      <c r="T65" s="57">
        <f t="shared" si="16"/>
        <v>25.412040631578943</v>
      </c>
      <c r="U65" s="50">
        <f t="shared" si="8"/>
        <v>2.0329632505263153</v>
      </c>
      <c r="V65" s="58">
        <f t="shared" si="13"/>
        <v>81.666065501754375</v>
      </c>
      <c r="W65" s="101">
        <f t="shared" si="14"/>
        <v>1215.8478070175436</v>
      </c>
      <c r="X65" s="50">
        <f t="shared" si="9"/>
        <v>90.341185209054842</v>
      </c>
      <c r="Y65" s="77">
        <f>+(((90-X64)*(D65-D64))/(X65-X64))+D64</f>
        <v>950.89735162675879</v>
      </c>
      <c r="Z65" s="66" t="s">
        <v>79</v>
      </c>
      <c r="AB65" s="54">
        <f t="shared" si="10"/>
        <v>9.6588147909451583E-2</v>
      </c>
    </row>
    <row r="66" spans="1:28" x14ac:dyDescent="0.25">
      <c r="A66" s="41">
        <v>54</v>
      </c>
      <c r="B66" s="42">
        <v>39601</v>
      </c>
      <c r="C66" s="43"/>
      <c r="D66" s="55">
        <v>1020</v>
      </c>
      <c r="E66" s="56">
        <f t="shared" si="11"/>
        <v>60</v>
      </c>
      <c r="F66" s="41">
        <v>9.3556133750000004E-5</v>
      </c>
      <c r="G66" s="67">
        <f>+'[1]Con 10hP4'!E67</f>
        <v>0.39479824561403498</v>
      </c>
      <c r="H66" s="99">
        <f t="shared" si="1"/>
        <v>0.13757040313778959</v>
      </c>
      <c r="I66" s="47">
        <f t="shared" si="12"/>
        <v>23.6878947368421</v>
      </c>
      <c r="J66" s="47">
        <f>+G66/I91</f>
        <v>2.93346878202483E-4</v>
      </c>
      <c r="K66" s="48">
        <f>+I66/I91</f>
        <v>1.7600812692148981E-2</v>
      </c>
      <c r="L66" s="49">
        <f t="shared" si="0"/>
        <v>17.952828945991961</v>
      </c>
      <c r="M66" s="45">
        <f t="shared" si="15"/>
        <v>0.29334687820248301</v>
      </c>
      <c r="N66" s="51">
        <f t="shared" si="2"/>
        <v>2.8624347533254753</v>
      </c>
      <c r="O66" s="51">
        <f t="shared" si="3"/>
        <v>9.4494553761138106E-2</v>
      </c>
      <c r="P66" s="51">
        <f t="shared" si="4"/>
        <v>2.2047346848558594E-2</v>
      </c>
      <c r="Q66" s="52">
        <f t="shared" si="5"/>
        <v>6.2088768290277624E-2</v>
      </c>
      <c r="R66" s="51">
        <f t="shared" si="6"/>
        <v>6.4703630598615086E-2</v>
      </c>
      <c r="S66" s="50">
        <f t="shared" si="7"/>
        <v>3.8284035002612654E-2</v>
      </c>
      <c r="T66" s="57">
        <f t="shared" si="16"/>
        <v>19.888356421052627</v>
      </c>
      <c r="U66" s="50">
        <f t="shared" si="8"/>
        <v>1.5910685136842102</v>
      </c>
      <c r="V66" s="58">
        <f t="shared" si="13"/>
        <v>83.257134015438581</v>
      </c>
      <c r="W66" s="101">
        <f t="shared" si="14"/>
        <v>1239.5357017543856</v>
      </c>
      <c r="X66" s="50">
        <f t="shared" si="9"/>
        <v>92.10126774017607</v>
      </c>
      <c r="Y66" s="19"/>
      <c r="AB66" s="54">
        <f t="shared" si="10"/>
        <v>7.8987322598239262E-2</v>
      </c>
    </row>
    <row r="67" spans="1:28" x14ac:dyDescent="0.25">
      <c r="A67" s="41">
        <v>55</v>
      </c>
      <c r="B67" s="42">
        <v>39601</v>
      </c>
      <c r="C67" s="43"/>
      <c r="D67" s="55">
        <v>1080</v>
      </c>
      <c r="E67" s="56">
        <f t="shared" si="11"/>
        <v>60</v>
      </c>
      <c r="F67" s="41">
        <v>9.3556133750000004E-5</v>
      </c>
      <c r="G67" s="67">
        <f>+'[1]Con 10hP4'!E68</f>
        <v>0.31804385964912274</v>
      </c>
      <c r="H67" s="99">
        <f t="shared" si="1"/>
        <v>0.11367139706407481</v>
      </c>
      <c r="I67" s="47">
        <f t="shared" si="12"/>
        <v>19.082631578947364</v>
      </c>
      <c r="J67" s="47">
        <f>+G67/I91</f>
        <v>2.3631607889855859E-4</v>
      </c>
      <c r="K67" s="48">
        <f>+I67/I91</f>
        <v>1.4178964733913516E-2</v>
      </c>
      <c r="L67" s="49">
        <f t="shared" si="0"/>
        <v>15.313281912626596</v>
      </c>
      <c r="M67" s="45">
        <f t="shared" si="15"/>
        <v>0.2363160788985586</v>
      </c>
      <c r="N67" s="51">
        <f t="shared" si="2"/>
        <v>3.0308132682269742</v>
      </c>
      <c r="O67" s="51">
        <f t="shared" si="3"/>
        <v>7.6123470476094482E-2</v>
      </c>
      <c r="P67" s="51">
        <f t="shared" si="4"/>
        <v>1.2037232651146788E-2</v>
      </c>
      <c r="Q67" s="52">
        <f t="shared" si="5"/>
        <v>4.3292630465229485E-2</v>
      </c>
      <c r="R67" s="51">
        <f t="shared" si="6"/>
        <v>5.007863332425283E-2</v>
      </c>
      <c r="S67" s="50">
        <f t="shared" si="7"/>
        <v>2.9445795314752561E-2</v>
      </c>
      <c r="T67" s="57">
        <f t="shared" si="16"/>
        <v>16.021777473684207</v>
      </c>
      <c r="U67" s="50">
        <f t="shared" si="8"/>
        <v>1.2817421978947365</v>
      </c>
      <c r="V67" s="58">
        <f t="shared" si="13"/>
        <v>84.53887621333331</v>
      </c>
      <c r="W67" s="101">
        <f t="shared" si="14"/>
        <v>1258.6183333333329</v>
      </c>
      <c r="X67" s="50">
        <f t="shared" si="9"/>
        <v>93.51916523014124</v>
      </c>
      <c r="Y67" s="77"/>
      <c r="Z67" s="66"/>
      <c r="AB67" s="54">
        <f t="shared" si="10"/>
        <v>6.4808347698587565E-2</v>
      </c>
    </row>
    <row r="68" spans="1:28" x14ac:dyDescent="0.25">
      <c r="A68" s="41">
        <v>56</v>
      </c>
      <c r="B68" s="42">
        <v>39601</v>
      </c>
      <c r="C68" s="43"/>
      <c r="D68" s="55">
        <v>1140</v>
      </c>
      <c r="E68" s="56">
        <f t="shared" si="11"/>
        <v>60</v>
      </c>
      <c r="F68" s="41">
        <v>9.3556133750000004E-5</v>
      </c>
      <c r="G68" s="45">
        <f>+'[1]Con 10hP4'!E69</f>
        <v>0.26321929824561402</v>
      </c>
      <c r="H68" s="99">
        <f t="shared" si="1"/>
        <v>9.4251428187556913E-2</v>
      </c>
      <c r="I68" s="47">
        <f t="shared" si="12"/>
        <v>15.793157894736842</v>
      </c>
      <c r="J68" s="47">
        <f>+G68/I91</f>
        <v>1.9557979368146975E-4</v>
      </c>
      <c r="K68" s="48">
        <f>+I68/I91</f>
        <v>1.1734787620888185E-2</v>
      </c>
      <c r="L68" s="49">
        <f t="shared" si="0"/>
        <v>13.37765788781253</v>
      </c>
      <c r="M68" s="45">
        <f t="shared" si="15"/>
        <v>0.19557979368146974</v>
      </c>
      <c r="N68" s="51">
        <f t="shared" si="2"/>
        <v>3.1991917831284726</v>
      </c>
      <c r="O68" s="51">
        <f t="shared" si="3"/>
        <v>6.300126812963476E-2</v>
      </c>
      <c r="P68" s="51">
        <f t="shared" si="4"/>
        <v>6.2368142489393928E-3</v>
      </c>
      <c r="Q68" s="52">
        <f t="shared" si="5"/>
        <v>2.9259671350080355E-2</v>
      </c>
      <c r="R68" s="51">
        <f t="shared" si="6"/>
        <v>3.8698282217142804E-2</v>
      </c>
      <c r="S68" s="50">
        <f t="shared" si="7"/>
        <v>2.2588791360914129E-2</v>
      </c>
      <c r="T68" s="57">
        <f t="shared" si="16"/>
        <v>13.259935368421051</v>
      </c>
      <c r="U68" s="50">
        <f t="shared" si="8"/>
        <v>1.060794829473684</v>
      </c>
      <c r="V68" s="58">
        <f t="shared" si="13"/>
        <v>85.599671042806989</v>
      </c>
      <c r="W68" s="101">
        <f t="shared" si="14"/>
        <v>1274.4114912280697</v>
      </c>
      <c r="X68" s="50">
        <f t="shared" si="9"/>
        <v>94.692644833566391</v>
      </c>
      <c r="Y68" s="68">
        <f>+((([1]Resumen!O10-G67)*(D68-D67))/(G68-G67))+D67</f>
        <v>1126.8604800000001</v>
      </c>
      <c r="Z68" s="69" t="s">
        <v>80</v>
      </c>
      <c r="AB68" s="54">
        <f t="shared" si="10"/>
        <v>5.3073551664336138E-2</v>
      </c>
    </row>
    <row r="69" spans="1:28" x14ac:dyDescent="0.25">
      <c r="A69" s="41">
        <v>57</v>
      </c>
      <c r="B69" s="42">
        <v>39601</v>
      </c>
      <c r="C69" s="43"/>
      <c r="D69" s="55">
        <v>1200</v>
      </c>
      <c r="E69" s="56">
        <f t="shared" si="11"/>
        <v>60</v>
      </c>
      <c r="F69" s="41">
        <v>9.3556133750000004E-5</v>
      </c>
      <c r="G69" s="45">
        <f>+'[1]Con 10hP4'!E70</f>
        <v>0.23032456140350877</v>
      </c>
      <c r="H69" s="99">
        <f t="shared" si="1"/>
        <v>7.8397828355977653E-2</v>
      </c>
      <c r="I69" s="47">
        <f t="shared" si="12"/>
        <v>13.819473684210525</v>
      </c>
      <c r="J69" s="47">
        <f>+G69/I91</f>
        <v>1.7113802255121641E-4</v>
      </c>
      <c r="K69" s="48">
        <f>+I69/I91</f>
        <v>1.0268281353072985E-2</v>
      </c>
      <c r="L69" s="49">
        <f t="shared" si="0"/>
        <v>12.321937623687582</v>
      </c>
      <c r="M69" s="45">
        <f t="shared" si="15"/>
        <v>0.17113802255121641</v>
      </c>
      <c r="N69" s="51">
        <f t="shared" si="2"/>
        <v>3.3675702980299711</v>
      </c>
      <c r="O69" s="51">
        <f t="shared" si="3"/>
        <v>5.5127946721758921E-2</v>
      </c>
      <c r="P69" s="51">
        <f t="shared" si="4"/>
        <v>3.0666541493404066E-3</v>
      </c>
      <c r="Q69" s="52">
        <f t="shared" si="5"/>
        <v>1.9168117038899542E-2</v>
      </c>
      <c r="R69" s="51">
        <f t="shared" si="6"/>
        <v>2.9866256528468214E-2</v>
      </c>
      <c r="S69" s="50">
        <f t="shared" si="7"/>
        <v>1.7287946175383213E-2</v>
      </c>
      <c r="T69" s="57">
        <f t="shared" si="16"/>
        <v>11.602830105263157</v>
      </c>
      <c r="U69" s="50">
        <f t="shared" si="8"/>
        <v>0.92822640842105253</v>
      </c>
      <c r="V69" s="58">
        <f t="shared" si="13"/>
        <v>86.527897451228043</v>
      </c>
      <c r="W69" s="101">
        <f t="shared" si="14"/>
        <v>1288.2309649122803</v>
      </c>
      <c r="X69" s="50">
        <f t="shared" si="9"/>
        <v>95.7194737050675</v>
      </c>
      <c r="Y69" s="104"/>
      <c r="Z69" s="106"/>
      <c r="AB69" s="54">
        <f t="shared" si="10"/>
        <v>4.2805262949324963E-2</v>
      </c>
    </row>
    <row r="70" spans="1:28" x14ac:dyDescent="0.25">
      <c r="A70" s="41">
        <v>58</v>
      </c>
      <c r="B70" s="42">
        <v>39601</v>
      </c>
      <c r="C70" s="43"/>
      <c r="D70" s="55">
        <v>1260</v>
      </c>
      <c r="E70" s="56">
        <f t="shared" si="11"/>
        <v>60</v>
      </c>
      <c r="F70" s="41">
        <v>9.3556133750000004E-5</v>
      </c>
      <c r="G70" s="45">
        <f>+'[1]Con 10hP4'!E71</f>
        <v>0.20839473684210524</v>
      </c>
      <c r="H70" s="99">
        <f t="shared" si="1"/>
        <v>6.5400966816167874E-2</v>
      </c>
      <c r="I70" s="47">
        <f t="shared" si="12"/>
        <v>12.503684210526314</v>
      </c>
      <c r="J70" s="47">
        <f>+G70/I91</f>
        <v>1.5484350846438086E-4</v>
      </c>
      <c r="K70" s="48">
        <f>+I70/I91</f>
        <v>9.290610507862852E-3</v>
      </c>
      <c r="L70" s="49">
        <f t="shared" si="0"/>
        <v>11.706169239907194</v>
      </c>
      <c r="M70" s="45">
        <f t="shared" si="15"/>
        <v>0.15484350846438086</v>
      </c>
      <c r="N70" s="51">
        <f t="shared" si="2"/>
        <v>3.5359488129314696</v>
      </c>
      <c r="O70" s="51">
        <f t="shared" si="3"/>
        <v>4.9879065783175025E-2</v>
      </c>
      <c r="P70" s="51">
        <f t="shared" si="4"/>
        <v>1.4309769075821223E-3</v>
      </c>
      <c r="Q70" s="52">
        <f t="shared" si="5"/>
        <v>1.2171497118840711E-2</v>
      </c>
      <c r="R70" s="51">
        <f t="shared" si="6"/>
        <v>2.3026377172201608E-2</v>
      </c>
      <c r="S70" s="50">
        <f t="shared" si="7"/>
        <v>1.320304239275767E-2</v>
      </c>
      <c r="T70" s="57">
        <f t="shared" si="16"/>
        <v>10.498093263157894</v>
      </c>
      <c r="U70" s="50">
        <f t="shared" si="8"/>
        <v>0.83984746105263153</v>
      </c>
      <c r="V70" s="58">
        <f t="shared" si="13"/>
        <v>87.367744912280671</v>
      </c>
      <c r="W70" s="101">
        <f t="shared" si="14"/>
        <v>1300.7346491228066</v>
      </c>
      <c r="X70" s="50">
        <f t="shared" si="9"/>
        <v>96.648535421952587</v>
      </c>
      <c r="Y70" s="104"/>
      <c r="Z70" s="66"/>
      <c r="AB70" s="54">
        <f t="shared" si="10"/>
        <v>3.3514645780474139E-2</v>
      </c>
    </row>
    <row r="71" spans="1:28" x14ac:dyDescent="0.25">
      <c r="A71" s="41">
        <v>59</v>
      </c>
      <c r="B71" s="42">
        <v>39601</v>
      </c>
      <c r="C71" s="43"/>
      <c r="D71" s="55">
        <v>1320</v>
      </c>
      <c r="E71" s="56">
        <f>+D71-D70</f>
        <v>60</v>
      </c>
      <c r="F71" s="41">
        <v>9.3556133750000004E-5</v>
      </c>
      <c r="G71" s="45">
        <f>+'[1]Con 10hP4'!E72</f>
        <v>0.17549999999999999</v>
      </c>
      <c r="H71" s="99">
        <f t="shared" si="1"/>
        <v>5.4704942265381931E-2</v>
      </c>
      <c r="I71" s="47">
        <f t="shared" si="12"/>
        <v>10.53</v>
      </c>
      <c r="J71" s="47">
        <f>+G71/I91</f>
        <v>1.3040173733412755E-4</v>
      </c>
      <c r="K71" s="48">
        <f>+I71/I91</f>
        <v>7.824104240047652E-3</v>
      </c>
      <c r="L71" s="49">
        <f t="shared" si="0"/>
        <v>10.3278175968629</v>
      </c>
      <c r="M71" s="45">
        <f t="shared" si="15"/>
        <v>0.13040173733412755</v>
      </c>
      <c r="N71" s="51">
        <f t="shared" si="2"/>
        <v>3.704327327832968</v>
      </c>
      <c r="O71" s="51">
        <f t="shared" si="3"/>
        <v>4.2005744375299185E-2</v>
      </c>
      <c r="P71" s="51">
        <f t="shared" si="4"/>
        <v>6.3367458043677046E-4</v>
      </c>
      <c r="Q71" s="52">
        <f t="shared" si="5"/>
        <v>7.4914017507706487E-3</v>
      </c>
      <c r="R71" s="51">
        <f t="shared" si="6"/>
        <v>1.7738229489095956E-2</v>
      </c>
      <c r="S71" s="50">
        <f t="shared" si="7"/>
        <v>1.0063995936617191E-2</v>
      </c>
      <c r="T71" s="57">
        <f t="shared" si="16"/>
        <v>8.8409879999999994</v>
      </c>
      <c r="U71" s="50">
        <f t="shared" si="8"/>
        <v>0.70727903999999997</v>
      </c>
      <c r="V71" s="58">
        <f t="shared" si="13"/>
        <v>88.075023952280674</v>
      </c>
      <c r="W71" s="101">
        <f t="shared" si="14"/>
        <v>1311.2646491228065</v>
      </c>
      <c r="X71" s="50">
        <f t="shared" si="9"/>
        <v>97.430946406913648</v>
      </c>
      <c r="Y71" s="104"/>
      <c r="Z71" s="105"/>
      <c r="AB71" s="54">
        <f t="shared" si="10"/>
        <v>2.5690535930863567E-2</v>
      </c>
    </row>
    <row r="72" spans="1:28" x14ac:dyDescent="0.25">
      <c r="A72" s="41">
        <v>60</v>
      </c>
      <c r="B72" s="42">
        <v>39601</v>
      </c>
      <c r="C72" s="43"/>
      <c r="D72" s="55">
        <v>1380</v>
      </c>
      <c r="E72" s="56">
        <f t="shared" si="11"/>
        <v>60</v>
      </c>
      <c r="F72" s="41">
        <v>9.3556133750000004E-5</v>
      </c>
      <c r="G72" s="45">
        <f>+'[1]Con 10hP4'!E73</f>
        <v>0.14260526315789473</v>
      </c>
      <c r="H72" s="99">
        <f t="shared" si="1"/>
        <v>4.5871294171385156E-2</v>
      </c>
      <c r="I72" s="47">
        <f t="shared" si="12"/>
        <v>8.5563157894736843</v>
      </c>
      <c r="J72" s="47">
        <f>+G72/I91</f>
        <v>1.0595996620387423E-4</v>
      </c>
      <c r="K72" s="48">
        <f>+I72/I91</f>
        <v>6.3575979722324538E-3</v>
      </c>
      <c r="L72" s="49">
        <f t="shared" si="0"/>
        <v>8.7734852016807867</v>
      </c>
      <c r="M72" s="45">
        <f t="shared" si="15"/>
        <v>0.10595996620387423</v>
      </c>
      <c r="N72" s="51">
        <f t="shared" si="2"/>
        <v>3.8727058427344669</v>
      </c>
      <c r="O72" s="51">
        <f t="shared" si="3"/>
        <v>3.4132422967423345E-2</v>
      </c>
      <c r="P72" s="51">
        <f t="shared" si="4"/>
        <v>2.6629669819072817E-4</v>
      </c>
      <c r="Q72" s="52">
        <f t="shared" si="5"/>
        <v>4.4692712635622028E-3</v>
      </c>
      <c r="R72" s="51">
        <f t="shared" si="6"/>
        <v>1.3655329769543078E-2</v>
      </c>
      <c r="S72" s="50">
        <f t="shared" si="7"/>
        <v>7.6578506941966254E-3</v>
      </c>
      <c r="T72" s="57">
        <f t="shared" si="16"/>
        <v>7.1838827368421052</v>
      </c>
      <c r="U72" s="50">
        <f t="shared" si="8"/>
        <v>0.57471061894736841</v>
      </c>
      <c r="V72" s="58">
        <f t="shared" si="13"/>
        <v>88.649734571228038</v>
      </c>
      <c r="W72" s="101">
        <f t="shared" si="14"/>
        <v>1319.8209649122803</v>
      </c>
      <c r="X72" s="50">
        <f t="shared" si="9"/>
        <v>98.066706659950682</v>
      </c>
      <c r="Y72" s="19"/>
      <c r="AB72" s="54">
        <f t="shared" si="10"/>
        <v>1.9332933400493135E-2</v>
      </c>
    </row>
    <row r="73" spans="1:28" x14ac:dyDescent="0.25">
      <c r="A73" s="41">
        <v>61</v>
      </c>
      <c r="B73" s="42">
        <v>39601</v>
      </c>
      <c r="C73" s="43"/>
      <c r="D73" s="55">
        <v>1440</v>
      </c>
      <c r="E73" s="56">
        <f t="shared" si="11"/>
        <v>60</v>
      </c>
      <c r="F73" s="41">
        <v>9.3556133750000004E-5</v>
      </c>
      <c r="G73" s="45">
        <f>+'[1]Con 10hP4'!E74</f>
        <v>0.14260526315789473</v>
      </c>
      <c r="H73" s="99">
        <f t="shared" si="1"/>
        <v>3.855202081177278E-2</v>
      </c>
      <c r="I73" s="47">
        <f t="shared" si="12"/>
        <v>8.5563157894736843</v>
      </c>
      <c r="J73" s="47">
        <f>+G73/I91</f>
        <v>1.0595996620387423E-4</v>
      </c>
      <c r="K73" s="48">
        <f>+I73/I91</f>
        <v>6.3575979722324538E-3</v>
      </c>
      <c r="L73" s="49">
        <f t="shared" si="0"/>
        <v>9.1549410800147335</v>
      </c>
      <c r="M73" s="45">
        <f t="shared" si="15"/>
        <v>0.10595996620387423</v>
      </c>
      <c r="N73" s="51">
        <f t="shared" si="2"/>
        <v>4.041084357635965</v>
      </c>
      <c r="O73" s="51">
        <f t="shared" si="3"/>
        <v>3.4132422967423345E-2</v>
      </c>
      <c r="P73" s="51">
        <f t="shared" si="4"/>
        <v>1.0620161290367838E-4</v>
      </c>
      <c r="Q73" s="52">
        <f t="shared" si="5"/>
        <v>2.584430641023908E-3</v>
      </c>
      <c r="R73" s="51">
        <f t="shared" si="6"/>
        <v>1.0506447004833008E-2</v>
      </c>
      <c r="S73" s="50">
        <f t="shared" si="7"/>
        <v>5.8176562215254534E-3</v>
      </c>
      <c r="T73" s="57">
        <f t="shared" si="16"/>
        <v>7.1838827368421052</v>
      </c>
      <c r="U73" s="50">
        <f t="shared" si="8"/>
        <v>0.57471061894736841</v>
      </c>
      <c r="V73" s="58">
        <f t="shared" si="13"/>
        <v>89.224445190175402</v>
      </c>
      <c r="W73" s="101">
        <f t="shared" si="14"/>
        <v>1328.377280701754</v>
      </c>
      <c r="X73" s="50">
        <f t="shared" si="9"/>
        <v>98.702466912987731</v>
      </c>
      <c r="Y73" s="19"/>
      <c r="AB73" s="54">
        <f t="shared" si="10"/>
        <v>1.2975330870122703E-2</v>
      </c>
    </row>
    <row r="74" spans="1:28" x14ac:dyDescent="0.25">
      <c r="A74" s="41">
        <v>62</v>
      </c>
      <c r="B74" s="42">
        <v>39601</v>
      </c>
      <c r="C74" s="43"/>
      <c r="D74" s="55">
        <v>1500</v>
      </c>
      <c r="E74" s="56">
        <f t="shared" si="11"/>
        <v>60</v>
      </c>
      <c r="F74" s="41">
        <v>9.3556133750000004E-5</v>
      </c>
      <c r="G74" s="45">
        <f>+'[1]Con 10hP4'!E75</f>
        <v>9.8745614035087734E-2</v>
      </c>
      <c r="H74" s="99">
        <f t="shared" si="1"/>
        <v>3.2469325703218116E-2</v>
      </c>
      <c r="I74" s="47">
        <f t="shared" si="12"/>
        <v>5.924736842105264</v>
      </c>
      <c r="J74" s="47">
        <f>+G74/I91</f>
        <v>7.3370938030203125E-5</v>
      </c>
      <c r="K74" s="48">
        <f>+I74/I91</f>
        <v>4.4022562818121875E-3</v>
      </c>
      <c r="L74" s="49">
        <f t="shared" si="0"/>
        <v>6.603384422718281</v>
      </c>
      <c r="M74" s="45">
        <f t="shared" si="15"/>
        <v>7.3370938030203128E-2</v>
      </c>
      <c r="N74" s="51">
        <f t="shared" si="2"/>
        <v>4.2094628725374639</v>
      </c>
      <c r="O74" s="51">
        <f t="shared" si="3"/>
        <v>2.3634661090255561E-2</v>
      </c>
      <c r="P74" s="51">
        <f t="shared" si="4"/>
        <v>4.0194097206907117E-5</v>
      </c>
      <c r="Q74" s="52">
        <f t="shared" si="5"/>
        <v>1.4485970188728139E-3</v>
      </c>
      <c r="R74" s="51">
        <f t="shared" si="6"/>
        <v>8.080079853678793E-3</v>
      </c>
      <c r="S74" s="50">
        <f t="shared" si="7"/>
        <v>4.413170576655006E-3</v>
      </c>
      <c r="T74" s="57">
        <f t="shared" si="16"/>
        <v>4.9744090526315796</v>
      </c>
      <c r="U74" s="50">
        <f t="shared" si="8"/>
        <v>0.39795272421052641</v>
      </c>
      <c r="V74" s="58">
        <f t="shared" si="13"/>
        <v>89.622397914385928</v>
      </c>
      <c r="W74" s="101">
        <f t="shared" si="14"/>
        <v>1334.3020175438592</v>
      </c>
      <c r="X74" s="50">
        <f t="shared" si="9"/>
        <v>99.142692856792721</v>
      </c>
      <c r="Y74" s="19"/>
      <c r="AB74" s="54">
        <f t="shared" si="10"/>
        <v>8.5730714320727541E-3</v>
      </c>
    </row>
    <row r="75" spans="1:28" x14ac:dyDescent="0.25">
      <c r="A75" s="41">
        <v>63</v>
      </c>
      <c r="B75" s="42">
        <v>39601</v>
      </c>
      <c r="C75" s="43"/>
      <c r="D75" s="55">
        <v>1560</v>
      </c>
      <c r="E75" s="56">
        <f t="shared" si="11"/>
        <v>60</v>
      </c>
      <c r="F75" s="41">
        <v>9.3556133750000004E-5</v>
      </c>
      <c r="G75" s="45">
        <f>+'[1]Con 10hP4'!E76</f>
        <v>7.6815789473684212E-2</v>
      </c>
      <c r="H75" s="99">
        <f t="shared" si="1"/>
        <v>2.7400280115540004E-2</v>
      </c>
      <c r="I75" s="47">
        <f t="shared" si="12"/>
        <v>4.6089473684210525</v>
      </c>
      <c r="J75" s="47">
        <f>+G75/I91</f>
        <v>5.7076423943367574E-5</v>
      </c>
      <c r="K75" s="48">
        <f>+I75/I91</f>
        <v>3.4245854366020539E-3</v>
      </c>
      <c r="L75" s="49">
        <f t="shared" si="0"/>
        <v>5.3423532810992045</v>
      </c>
      <c r="M75" s="45">
        <f t="shared" si="15"/>
        <v>5.7076423943367573E-2</v>
      </c>
      <c r="N75" s="51">
        <f t="shared" si="2"/>
        <v>4.3778413874389628</v>
      </c>
      <c r="O75" s="51">
        <f t="shared" si="3"/>
        <v>1.8385780151671666E-2</v>
      </c>
      <c r="P75" s="51">
        <f t="shared" si="4"/>
        <v>1.443641239021618E-5</v>
      </c>
      <c r="Q75" s="52">
        <f t="shared" si="5"/>
        <v>7.8701830252856557E-4</v>
      </c>
      <c r="R75" s="51">
        <f t="shared" si="6"/>
        <v>6.2118052735897012E-3</v>
      </c>
      <c r="S75" s="50">
        <f t="shared" si="7"/>
        <v>3.3432201249446185E-3</v>
      </c>
      <c r="T75" s="57">
        <f t="shared" si="16"/>
        <v>3.8696722105263159</v>
      </c>
      <c r="U75" s="50">
        <f t="shared" si="8"/>
        <v>0.3095737768421053</v>
      </c>
      <c r="V75" s="58">
        <f t="shared" si="13"/>
        <v>89.931971691228028</v>
      </c>
      <c r="W75" s="101">
        <f t="shared" si="14"/>
        <v>1338.9109649122802</v>
      </c>
      <c r="X75" s="50">
        <f t="shared" si="9"/>
        <v>99.485151645981702</v>
      </c>
      <c r="Y75" s="19"/>
      <c r="AB75" s="54">
        <f t="shared" si="10"/>
        <v>5.1484835401829354E-3</v>
      </c>
    </row>
    <row r="76" spans="1:28" x14ac:dyDescent="0.25">
      <c r="A76" s="41">
        <v>64</v>
      </c>
      <c r="B76" s="42">
        <v>39601</v>
      </c>
      <c r="C76" s="43"/>
      <c r="D76" s="55">
        <v>1620</v>
      </c>
      <c r="E76" s="56">
        <f t="shared" si="11"/>
        <v>60</v>
      </c>
      <c r="F76" s="41">
        <v>9.3556133750000004E-5</v>
      </c>
      <c r="G76" s="45">
        <f>+'[1]Con 10hP4'!E77</f>
        <v>4.3921052631578944E-2</v>
      </c>
      <c r="H76" s="99">
        <f t="shared" si="1"/>
        <v>2.3165113196085618E-2</v>
      </c>
      <c r="I76" s="47">
        <f t="shared" si="12"/>
        <v>2.6352631578947365</v>
      </c>
      <c r="J76" s="47">
        <f>+G76/I91</f>
        <v>3.2634652813114241E-5</v>
      </c>
      <c r="K76" s="48">
        <f>+I76/I91</f>
        <v>1.9580791687868544E-3</v>
      </c>
      <c r="L76" s="49">
        <f t="shared" ref="L76:L88" si="17">+D76*K76</f>
        <v>3.1720882534347044</v>
      </c>
      <c r="M76" s="45">
        <f t="shared" si="15"/>
        <v>3.2634652813114243E-2</v>
      </c>
      <c r="N76" s="51">
        <f t="shared" si="2"/>
        <v>4.5462199023404608</v>
      </c>
      <c r="O76" s="51">
        <f t="shared" si="3"/>
        <v>1.0512458743795822E-2</v>
      </c>
      <c r="P76" s="51">
        <f t="shared" si="4"/>
        <v>4.9206459277793874E-6</v>
      </c>
      <c r="Q76" s="52">
        <f t="shared" si="5"/>
        <v>4.1445426840597168E-4</v>
      </c>
      <c r="R76" s="51">
        <f t="shared" si="6"/>
        <v>4.7741087601420474E-3</v>
      </c>
      <c r="S76" s="50">
        <f t="shared" si="7"/>
        <v>2.5295033192004545E-3</v>
      </c>
      <c r="T76" s="57">
        <f t="shared" si="16"/>
        <v>2.2125669473684209</v>
      </c>
      <c r="U76" s="50">
        <f t="shared" si="8"/>
        <v>0.17700535578947366</v>
      </c>
      <c r="V76" s="58">
        <f t="shared" si="13"/>
        <v>90.108977047017504</v>
      </c>
      <c r="W76" s="101">
        <f t="shared" si="14"/>
        <v>1341.5462280701749</v>
      </c>
      <c r="X76" s="50">
        <f t="shared" si="9"/>
        <v>99.680959703246671</v>
      </c>
      <c r="Y76" s="19"/>
      <c r="AB76" s="54">
        <f t="shared" si="10"/>
        <v>3.1904029675332568E-3</v>
      </c>
    </row>
    <row r="77" spans="1:28" x14ac:dyDescent="0.25">
      <c r="A77" s="41">
        <v>65</v>
      </c>
      <c r="B77" s="42">
        <v>39601</v>
      </c>
      <c r="C77" s="43"/>
      <c r="D77" s="55">
        <v>1680</v>
      </c>
      <c r="E77" s="56">
        <f t="shared" si="11"/>
        <v>60</v>
      </c>
      <c r="F77" s="41">
        <v>9.3556133750000004E-5</v>
      </c>
      <c r="G77" s="45">
        <f>+'[1]Con 10hP4'!E78</f>
        <v>3.2956140350877197E-2</v>
      </c>
      <c r="H77" s="99">
        <f t="shared" ref="H77:H88" si="18">+((0.00125/0.2878)*(1/((4*3.1416*F77/0.275^4)*0.00085093^2*D77^3)^0.5)*EXP(-((1-(0.00085093*D77)/0.275)^2)/(4*F77*D77/0.275^2)))*1000</f>
        <v>1.9618203747840349E-2</v>
      </c>
      <c r="I77" s="47">
        <f t="shared" si="12"/>
        <v>1.9773684210526319</v>
      </c>
      <c r="J77" s="47">
        <f>+G77/I91</f>
        <v>2.4487395769696469E-5</v>
      </c>
      <c r="K77" s="48">
        <f>+I77/I91</f>
        <v>1.4692437461817883E-3</v>
      </c>
      <c r="L77" s="49">
        <f t="shared" si="17"/>
        <v>2.4683294935854043</v>
      </c>
      <c r="M77" s="45">
        <f t="shared" si="15"/>
        <v>2.4487395769696468E-2</v>
      </c>
      <c r="N77" s="51">
        <f t="shared" ref="N77:N88" si="19">+D77/(5.939*60)</f>
        <v>4.7145984172419597</v>
      </c>
      <c r="O77" s="51">
        <f t="shared" ref="O77:O88" si="20">+G77/4.178</f>
        <v>7.8880182745038763E-3</v>
      </c>
      <c r="P77" s="51">
        <f t="shared" ref="P77:P88" si="21">+(1/(2*SQRT(3.1416*0.2708))*EXP(-((1-N77)^2/(4*0.2708))))</f>
        <v>1.5916617778665245E-6</v>
      </c>
      <c r="Q77" s="52">
        <f t="shared" ref="Q77:Q88" si="22">+(1/(2*SQRT(3.1416*0.4545))*EXP(-((1-N77)^2/(4*0.4545))))</f>
        <v>2.1155482780541173E-4</v>
      </c>
      <c r="R77" s="51">
        <f t="shared" ref="R77:R88" si="23">+(1/(2*SQRT(3.1416*N77*0.1636))*EXP(-((1-N77)^2/(4*N77*0.1636))))</f>
        <v>3.6682913110859645E-3</v>
      </c>
      <c r="S77" s="50">
        <f t="shared" ref="S77:S88" si="24">+(1.8461*(1.8461*N77)^(1.8461-1)/FACT(1.8461-1))*EXP(-1.8461*N77)</f>
        <v>1.9116180964319322E-3</v>
      </c>
      <c r="T77" s="57">
        <f t="shared" si="16"/>
        <v>1.6601985263157897</v>
      </c>
      <c r="U77" s="50">
        <f t="shared" ref="U77:U88" si="25">+T77/(5000*0.25)*100</f>
        <v>0.13281588210526318</v>
      </c>
      <c r="V77" s="58">
        <f t="shared" si="13"/>
        <v>90.241792929122767</v>
      </c>
      <c r="W77" s="101">
        <f t="shared" si="14"/>
        <v>1343.5235964912276</v>
      </c>
      <c r="X77" s="50">
        <f t="shared" ref="X77:X88" si="26">+W77/1345.84*100</f>
        <v>99.827884183203636</v>
      </c>
      <c r="Y77" s="19"/>
      <c r="AB77" s="54">
        <f t="shared" ref="AB77:AB88" si="27">1-X77/100</f>
        <v>1.7211581679635879E-3</v>
      </c>
    </row>
    <row r="78" spans="1:28" x14ac:dyDescent="0.25">
      <c r="A78" s="41">
        <v>66</v>
      </c>
      <c r="B78" s="42">
        <v>39601</v>
      </c>
      <c r="C78" s="43"/>
      <c r="D78" s="55">
        <v>1740</v>
      </c>
      <c r="E78" s="56">
        <f t="shared" ref="E78:E88" si="28">+D78-D77</f>
        <v>60</v>
      </c>
      <c r="F78" s="41">
        <v>9.3556133750000004E-5</v>
      </c>
      <c r="G78" s="45">
        <f>+'[1]Con 10hP4'!E79</f>
        <v>2.1991228070175433E-2</v>
      </c>
      <c r="H78" s="99">
        <f t="shared" si="18"/>
        <v>1.664110146031399E-2</v>
      </c>
      <c r="I78" s="47">
        <f t="shared" ref="I78:I88" si="29">+G78*E78</f>
        <v>1.3194736842105259</v>
      </c>
      <c r="J78" s="47">
        <f>+G78/I91</f>
        <v>1.6340138726278687E-5</v>
      </c>
      <c r="K78" s="48">
        <f>+I78/I91</f>
        <v>9.8040832357672108E-4</v>
      </c>
      <c r="L78" s="49">
        <f t="shared" si="17"/>
        <v>1.7059104830234946</v>
      </c>
      <c r="M78" s="45">
        <f t="shared" si="15"/>
        <v>1.6340138726278687E-2</v>
      </c>
      <c r="N78" s="51">
        <f t="shared" si="19"/>
        <v>4.8829769321434577</v>
      </c>
      <c r="O78" s="51">
        <f t="shared" si="20"/>
        <v>5.2635778052119277E-3</v>
      </c>
      <c r="P78" s="51">
        <f t="shared" si="21"/>
        <v>4.8859080978808145E-7</v>
      </c>
      <c r="Q78" s="52">
        <f t="shared" si="22"/>
        <v>1.0467038074256245E-4</v>
      </c>
      <c r="R78" s="51">
        <f t="shared" si="23"/>
        <v>2.8180774297606828E-3</v>
      </c>
      <c r="S78" s="50">
        <f t="shared" si="24"/>
        <v>1.4431052906904271E-3</v>
      </c>
      <c r="T78" s="57">
        <f t="shared" si="16"/>
        <v>1.1078301052631576</v>
      </c>
      <c r="U78" s="50">
        <f t="shared" si="25"/>
        <v>8.8626408421052613E-2</v>
      </c>
      <c r="V78" s="58">
        <f t="shared" ref="V78:V88" si="30">+V77+U78</f>
        <v>90.330419337543816</v>
      </c>
      <c r="W78" s="101">
        <f t="shared" ref="W78:W88" si="31">+W77+I78</f>
        <v>1344.8430701754382</v>
      </c>
      <c r="X78" s="50">
        <f t="shared" si="26"/>
        <v>99.925925085852569</v>
      </c>
      <c r="Y78" s="19"/>
      <c r="AB78" s="54">
        <f t="shared" si="27"/>
        <v>7.4074914147426174E-4</v>
      </c>
    </row>
    <row r="79" spans="1:28" x14ac:dyDescent="0.25">
      <c r="A79" s="41">
        <v>67</v>
      </c>
      <c r="B79" s="42">
        <v>39601</v>
      </c>
      <c r="C79" s="43"/>
      <c r="D79" s="55">
        <v>1800</v>
      </c>
      <c r="E79" s="56">
        <f t="shared" si="28"/>
        <v>60</v>
      </c>
      <c r="F79" s="41">
        <v>9.3556133750000004E-5</v>
      </c>
      <c r="G79" s="45">
        <f>+'[1]Con 10hP4'!E80</f>
        <v>1.1026315789473686E-2</v>
      </c>
      <c r="H79" s="99">
        <f t="shared" si="18"/>
        <v>1.4137084946811077E-2</v>
      </c>
      <c r="I79" s="47">
        <f t="shared" si="29"/>
        <v>0.66157894736842116</v>
      </c>
      <c r="J79" s="47">
        <f>+G79/I91</f>
        <v>8.1928816828609169E-6</v>
      </c>
      <c r="K79" s="48">
        <f>+I79/I91</f>
        <v>4.9157290097165494E-4</v>
      </c>
      <c r="L79" s="49">
        <f t="shared" si="17"/>
        <v>0.88483122174897888</v>
      </c>
      <c r="M79" s="45">
        <f>+J79*1000</f>
        <v>8.1928816828609162E-3</v>
      </c>
      <c r="N79" s="51">
        <f t="shared" si="19"/>
        <v>5.0513554470449566</v>
      </c>
      <c r="O79" s="51">
        <f t="shared" si="20"/>
        <v>2.6391373359199825E-3</v>
      </c>
      <c r="P79" s="51">
        <f t="shared" si="21"/>
        <v>1.423330105677104E-7</v>
      </c>
      <c r="Q79" s="52">
        <f t="shared" si="22"/>
        <v>5.0197166914774991E-5</v>
      </c>
      <c r="R79" s="51">
        <f t="shared" si="23"/>
        <v>2.1645956539357368E-3</v>
      </c>
      <c r="S79" s="50">
        <f t="shared" si="24"/>
        <v>1.0883227723111945E-3</v>
      </c>
      <c r="T79" s="57">
        <f t="shared" si="16"/>
        <v>0.55546168421052644</v>
      </c>
      <c r="U79" s="50">
        <f t="shared" si="25"/>
        <v>4.4436934736842112E-2</v>
      </c>
      <c r="V79" s="58">
        <f t="shared" si="30"/>
        <v>90.374856272280653</v>
      </c>
      <c r="W79" s="101">
        <f t="shared" si="31"/>
        <v>1345.5046491228068</v>
      </c>
      <c r="X79" s="50">
        <f t="shared" si="26"/>
        <v>99.975082411193512</v>
      </c>
      <c r="Y79" s="19"/>
      <c r="AB79" s="54">
        <f t="shared" si="27"/>
        <v>2.4917588806483426E-4</v>
      </c>
    </row>
    <row r="80" spans="1:28" x14ac:dyDescent="0.25">
      <c r="A80" s="41">
        <v>68</v>
      </c>
      <c r="B80" s="42">
        <v>39601</v>
      </c>
      <c r="C80" s="43"/>
      <c r="D80" s="55">
        <v>1830</v>
      </c>
      <c r="E80" s="56">
        <f t="shared" si="28"/>
        <v>30</v>
      </c>
      <c r="F80" s="41">
        <v>9.3556133750000004E-5</v>
      </c>
      <c r="G80" s="45">
        <f>+'[1]Con 10hP4'!E81</f>
        <v>1.1026315789473686E-2</v>
      </c>
      <c r="H80" s="99">
        <f t="shared" si="18"/>
        <v>1.3037129792510493E-2</v>
      </c>
      <c r="I80" s="47">
        <f t="shared" si="29"/>
        <v>0.33078947368421058</v>
      </c>
      <c r="J80" s="47">
        <f>+G80/I91</f>
        <v>8.1928816828609169E-6</v>
      </c>
      <c r="K80" s="48">
        <f>+I80/I91</f>
        <v>2.4578645048582747E-4</v>
      </c>
      <c r="L80" s="49">
        <f t="shared" si="17"/>
        <v>0.44978920438906428</v>
      </c>
      <c r="M80" s="45">
        <f>+J80*1000</f>
        <v>8.1928816828609162E-3</v>
      </c>
      <c r="N80" s="51">
        <f t="shared" si="19"/>
        <v>5.1355447044957057</v>
      </c>
      <c r="O80" s="51">
        <f t="shared" si="20"/>
        <v>2.6391373359199825E-3</v>
      </c>
      <c r="P80" s="51">
        <f t="shared" si="21"/>
        <v>7.5328703799133929E-8</v>
      </c>
      <c r="Q80" s="52">
        <f t="shared" si="22"/>
        <v>3.4357959249086233E-5</v>
      </c>
      <c r="R80" s="51">
        <f t="shared" si="23"/>
        <v>1.8970065541009814E-3</v>
      </c>
      <c r="S80" s="50">
        <f t="shared" si="24"/>
        <v>9.4478435279078568E-4</v>
      </c>
      <c r="T80" s="57">
        <f t="shared" ref="T80:T88" si="32">839.6/1000*G80*E80</f>
        <v>0.27773084210526322</v>
      </c>
      <c r="U80" s="50">
        <f t="shared" si="25"/>
        <v>2.2218467368421056E-2</v>
      </c>
      <c r="V80" s="58">
        <f t="shared" si="30"/>
        <v>90.397074739649071</v>
      </c>
      <c r="W80" s="101">
        <f t="shared" si="31"/>
        <v>1345.835438596491</v>
      </c>
      <c r="X80" s="50">
        <f t="shared" si="26"/>
        <v>99.99966107386399</v>
      </c>
      <c r="Y80" s="19"/>
      <c r="AB80" s="54">
        <f t="shared" si="27"/>
        <v>3.3892613601205213E-6</v>
      </c>
    </row>
    <row r="81" spans="1:28" x14ac:dyDescent="0.25">
      <c r="A81" s="41">
        <v>69</v>
      </c>
      <c r="B81" s="42">
        <v>39601</v>
      </c>
      <c r="C81" s="43"/>
      <c r="D81" s="55">
        <v>1860</v>
      </c>
      <c r="E81" s="56">
        <f t="shared" si="28"/>
        <v>30</v>
      </c>
      <c r="F81" s="41">
        <v>9.3556133750000004E-5</v>
      </c>
      <c r="G81" s="45">
        <f>+'[1]Con 10hP4'!E82</f>
        <v>6.1403508771932375E-5</v>
      </c>
      <c r="H81" s="99">
        <f t="shared" si="18"/>
        <v>1.2026892298517205E-2</v>
      </c>
      <c r="I81" s="47">
        <f t="shared" si="29"/>
        <v>1.8421052631579712E-3</v>
      </c>
      <c r="J81" s="47">
        <f>+G81/I91</f>
        <v>4.562463944314144E-8</v>
      </c>
      <c r="K81" s="48">
        <f>+I81/I91</f>
        <v>1.3687391832942432E-6</v>
      </c>
      <c r="L81" s="49">
        <f t="shared" si="17"/>
        <v>2.5458548809272922E-3</v>
      </c>
      <c r="M81" s="45">
        <f>+J81*1000</f>
        <v>4.5624639443141438E-5</v>
      </c>
      <c r="N81" s="51">
        <f t="shared" si="19"/>
        <v>5.2197339619464556</v>
      </c>
      <c r="O81" s="51">
        <f t="shared" si="20"/>
        <v>1.4696866628035513E-5</v>
      </c>
      <c r="P81" s="51">
        <f t="shared" si="21"/>
        <v>3.9348828977879906E-8</v>
      </c>
      <c r="Q81" s="52">
        <f t="shared" si="22"/>
        <v>2.3333997592143162E-5</v>
      </c>
      <c r="R81" s="51">
        <f t="shared" si="23"/>
        <v>1.6624545027745029E-3</v>
      </c>
      <c r="S81" s="50">
        <f t="shared" si="24"/>
        <v>8.19990653380922E-4</v>
      </c>
      <c r="T81" s="57">
        <f t="shared" si="32"/>
        <v>1.5466315789474327E-3</v>
      </c>
      <c r="U81" s="50">
        <f t="shared" si="25"/>
        <v>1.2373052631579461E-4</v>
      </c>
      <c r="V81" s="58">
        <f t="shared" si="30"/>
        <v>90.397198470175383</v>
      </c>
      <c r="W81" s="101">
        <f t="shared" si="31"/>
        <v>1345.8372807017543</v>
      </c>
      <c r="X81" s="50">
        <f t="shared" si="26"/>
        <v>99.999797947880452</v>
      </c>
      <c r="Y81" s="19"/>
      <c r="AB81" s="54">
        <f t="shared" si="27"/>
        <v>2.0205211954671398E-6</v>
      </c>
    </row>
    <row r="82" spans="1:28" x14ac:dyDescent="0.25">
      <c r="A82" s="41">
        <v>70</v>
      </c>
      <c r="B82" s="42">
        <v>39601</v>
      </c>
      <c r="C82" s="43"/>
      <c r="D82" s="55">
        <v>1890</v>
      </c>
      <c r="E82" s="56">
        <f t="shared" si="28"/>
        <v>30</v>
      </c>
      <c r="F82" s="41">
        <v>9.3556133750000004E-5</v>
      </c>
      <c r="G82" s="45">
        <f>+'[1]Con 10hP4'!E83</f>
        <v>6.1403508771932375E-5</v>
      </c>
      <c r="H82" s="99">
        <f t="shared" si="18"/>
        <v>1.1098640645576519E-2</v>
      </c>
      <c r="I82" s="47">
        <f t="shared" si="29"/>
        <v>1.8421052631579712E-3</v>
      </c>
      <c r="J82" s="47">
        <f>+G82/I91</f>
        <v>4.562463944314144E-8</v>
      </c>
      <c r="K82" s="48">
        <f>+I82/I91</f>
        <v>1.3687391832942432E-6</v>
      </c>
      <c r="L82" s="49">
        <f t="shared" si="17"/>
        <v>2.5869170564261196E-3</v>
      </c>
      <c r="M82" s="45">
        <f>+J82*1000</f>
        <v>4.5624639443141438E-5</v>
      </c>
      <c r="N82" s="51">
        <f t="shared" si="19"/>
        <v>5.3039232193972046</v>
      </c>
      <c r="O82" s="51">
        <f t="shared" si="20"/>
        <v>1.4696866628035513E-5</v>
      </c>
      <c r="P82" s="51">
        <f t="shared" si="21"/>
        <v>2.0287082197883961E-8</v>
      </c>
      <c r="Q82" s="52">
        <f t="shared" si="22"/>
        <v>1.5724055644339174E-5</v>
      </c>
      <c r="R82" s="51">
        <f t="shared" si="23"/>
        <v>1.4568707851573401E-3</v>
      </c>
      <c r="S82" s="50">
        <f t="shared" si="24"/>
        <v>7.1152392457612403E-4</v>
      </c>
      <c r="T82" s="57">
        <f t="shared" si="32"/>
        <v>1.5466315789474327E-3</v>
      </c>
      <c r="U82" s="50">
        <f t="shared" si="25"/>
        <v>1.2373052631579461E-4</v>
      </c>
      <c r="V82" s="58">
        <f t="shared" si="30"/>
        <v>90.397322200701694</v>
      </c>
      <c r="W82" s="101">
        <f t="shared" si="31"/>
        <v>1345.8391228070175</v>
      </c>
      <c r="X82" s="50">
        <f t="shared" si="26"/>
        <v>99.999934821896915</v>
      </c>
      <c r="Y82" s="19"/>
      <c r="AB82" s="54">
        <f t="shared" si="27"/>
        <v>6.5178103081375838E-7</v>
      </c>
    </row>
    <row r="83" spans="1:28" x14ac:dyDescent="0.25">
      <c r="A83" s="41">
        <v>71</v>
      </c>
      <c r="B83" s="42">
        <v>39601</v>
      </c>
      <c r="C83" s="43"/>
      <c r="D83" s="55">
        <v>1920</v>
      </c>
      <c r="E83" s="56">
        <f t="shared" si="28"/>
        <v>30</v>
      </c>
      <c r="F83" s="41">
        <v>9.3556133750000004E-5</v>
      </c>
      <c r="G83" s="45">
        <f>+'[1]Con 10hP4'!E84</f>
        <v>6.1403508771932375E-5</v>
      </c>
      <c r="H83" s="99">
        <f t="shared" si="18"/>
        <v>1.0245352514090181E-2</v>
      </c>
      <c r="I83" s="47">
        <f t="shared" si="29"/>
        <v>1.8421052631579712E-3</v>
      </c>
      <c r="J83" s="47">
        <f>+G83/I91</f>
        <v>4.562463944314144E-8</v>
      </c>
      <c r="K83" s="48">
        <f>+I83/I91</f>
        <v>1.3687391832942432E-6</v>
      </c>
      <c r="L83" s="49">
        <f t="shared" si="17"/>
        <v>2.627979231924947E-3</v>
      </c>
      <c r="M83" s="45">
        <f t="shared" ref="M83:M88" si="33">+J83*1000</f>
        <v>4.5624639443141438E-5</v>
      </c>
      <c r="N83" s="51">
        <f t="shared" si="19"/>
        <v>5.3881124768479536</v>
      </c>
      <c r="O83" s="51">
        <f t="shared" si="20"/>
        <v>1.4696866628035513E-5</v>
      </c>
      <c r="P83" s="51">
        <f t="shared" si="21"/>
        <v>1.0323425410112823E-8</v>
      </c>
      <c r="Q83" s="52">
        <f t="shared" si="22"/>
        <v>1.0513652783130625E-5</v>
      </c>
      <c r="R83" s="51">
        <f t="shared" si="23"/>
        <v>1.2766855737181568E-3</v>
      </c>
      <c r="S83" s="50">
        <f t="shared" si="24"/>
        <v>6.1727333924173605E-4</v>
      </c>
      <c r="T83" s="57">
        <f t="shared" si="32"/>
        <v>1.5466315789474327E-3</v>
      </c>
      <c r="U83" s="50">
        <f t="shared" si="25"/>
        <v>1.2373052631579461E-4</v>
      </c>
      <c r="V83" s="58">
        <f t="shared" si="30"/>
        <v>90.397445931228006</v>
      </c>
      <c r="W83" s="101">
        <f t="shared" si="31"/>
        <v>1345.8409649122807</v>
      </c>
      <c r="X83" s="50">
        <f t="shared" si="26"/>
        <v>100.00007169591339</v>
      </c>
      <c r="Y83" s="19"/>
      <c r="AB83" s="54">
        <f t="shared" si="27"/>
        <v>-7.1695913383962306E-7</v>
      </c>
    </row>
    <row r="84" spans="1:28" x14ac:dyDescent="0.25">
      <c r="A84" s="41">
        <v>72</v>
      </c>
      <c r="B84" s="42">
        <v>39601</v>
      </c>
      <c r="C84" s="43"/>
      <c r="D84" s="55">
        <v>1950</v>
      </c>
      <c r="E84" s="56">
        <f t="shared" si="28"/>
        <v>30</v>
      </c>
      <c r="F84" s="41">
        <v>9.3556133750000004E-5</v>
      </c>
      <c r="G84" s="45">
        <f>+'[1]Con 10hP4'!E85</f>
        <v>0</v>
      </c>
      <c r="H84" s="99">
        <f t="shared" si="18"/>
        <v>9.4606452869149329E-3</v>
      </c>
      <c r="I84" s="47">
        <f t="shared" si="29"/>
        <v>0</v>
      </c>
      <c r="J84" s="47">
        <f>+G84/I91</f>
        <v>0</v>
      </c>
      <c r="K84" s="48">
        <f>+I84/I91</f>
        <v>0</v>
      </c>
      <c r="L84" s="49">
        <f t="shared" si="17"/>
        <v>0</v>
      </c>
      <c r="M84" s="45">
        <f t="shared" si="33"/>
        <v>0</v>
      </c>
      <c r="N84" s="51">
        <f t="shared" si="19"/>
        <v>5.4723017342987026</v>
      </c>
      <c r="O84" s="51">
        <f t="shared" si="20"/>
        <v>0</v>
      </c>
      <c r="P84" s="51">
        <f t="shared" si="21"/>
        <v>5.1849493511300397E-9</v>
      </c>
      <c r="Q84" s="52">
        <f t="shared" si="22"/>
        <v>6.9751945161339563E-6</v>
      </c>
      <c r="R84" s="51">
        <f t="shared" si="23"/>
        <v>1.118767218051194E-3</v>
      </c>
      <c r="S84" s="50">
        <f t="shared" si="24"/>
        <v>5.3539684764030934E-4</v>
      </c>
      <c r="T84" s="57">
        <f t="shared" si="32"/>
        <v>0</v>
      </c>
      <c r="U84" s="50">
        <f t="shared" si="25"/>
        <v>0</v>
      </c>
      <c r="V84" s="58">
        <f t="shared" si="30"/>
        <v>90.397445931228006</v>
      </c>
      <c r="W84" s="101">
        <f t="shared" si="31"/>
        <v>1345.8409649122807</v>
      </c>
      <c r="X84" s="50">
        <f t="shared" si="26"/>
        <v>100.00007169591339</v>
      </c>
      <c r="Y84" s="19"/>
      <c r="AB84" s="54">
        <f t="shared" si="27"/>
        <v>-7.1695913383962306E-7</v>
      </c>
    </row>
    <row r="85" spans="1:28" x14ac:dyDescent="0.25">
      <c r="A85" s="41">
        <v>73</v>
      </c>
      <c r="B85" s="42">
        <v>39601</v>
      </c>
      <c r="C85" s="43"/>
      <c r="D85" s="55">
        <v>1980</v>
      </c>
      <c r="E85" s="56">
        <f t="shared" si="28"/>
        <v>30</v>
      </c>
      <c r="F85" s="41">
        <v>9.3556133750000004E-5</v>
      </c>
      <c r="G85" s="45">
        <f>+'[1]Con 10hP4'!E86</f>
        <v>0</v>
      </c>
      <c r="H85" s="99">
        <f t="shared" si="18"/>
        <v>8.7387136497199501E-3</v>
      </c>
      <c r="I85" s="47">
        <f t="shared" si="29"/>
        <v>0</v>
      </c>
      <c r="J85" s="47">
        <f>+G85/I91</f>
        <v>0</v>
      </c>
      <c r="K85" s="48">
        <f>+I85/I91</f>
        <v>0</v>
      </c>
      <c r="L85" s="49">
        <f t="shared" si="17"/>
        <v>0</v>
      </c>
      <c r="M85" s="45">
        <f t="shared" si="33"/>
        <v>0</v>
      </c>
      <c r="N85" s="51">
        <f t="shared" si="19"/>
        <v>5.5564909917494525</v>
      </c>
      <c r="O85" s="51">
        <f t="shared" si="20"/>
        <v>0</v>
      </c>
      <c r="P85" s="51">
        <f t="shared" si="21"/>
        <v>2.570287305632098E-9</v>
      </c>
      <c r="Q85" s="52">
        <f t="shared" si="22"/>
        <v>4.5916909657130533E-6</v>
      </c>
      <c r="R85" s="51">
        <f t="shared" si="23"/>
        <v>9.8036882730813206E-4</v>
      </c>
      <c r="S85" s="50">
        <f t="shared" si="24"/>
        <v>4.6428763500788961E-4</v>
      </c>
      <c r="T85" s="57">
        <f t="shared" si="32"/>
        <v>0</v>
      </c>
      <c r="U85" s="50">
        <f t="shared" si="25"/>
        <v>0</v>
      </c>
      <c r="V85" s="58">
        <f t="shared" si="30"/>
        <v>90.397445931228006</v>
      </c>
      <c r="W85" s="101">
        <f t="shared" si="31"/>
        <v>1345.8409649122807</v>
      </c>
      <c r="X85" s="50">
        <f t="shared" si="26"/>
        <v>100.00007169591339</v>
      </c>
      <c r="Y85" s="19"/>
      <c r="AB85" s="54">
        <f t="shared" si="27"/>
        <v>-7.1695913383962306E-7</v>
      </c>
    </row>
    <row r="86" spans="1:28" x14ac:dyDescent="0.25">
      <c r="A86" s="41">
        <v>74</v>
      </c>
      <c r="B86" s="42">
        <v>39601</v>
      </c>
      <c r="C86" s="43"/>
      <c r="D86" s="55">
        <v>2010</v>
      </c>
      <c r="E86" s="56">
        <f t="shared" si="28"/>
        <v>30</v>
      </c>
      <c r="F86" s="41">
        <v>9.3556133750000004E-5</v>
      </c>
      <c r="G86" s="45">
        <f>+'[1]Con 10hP4'!E87</f>
        <v>0</v>
      </c>
      <c r="H86" s="99">
        <f t="shared" si="18"/>
        <v>8.0742737420894228E-3</v>
      </c>
      <c r="I86" s="47">
        <f t="shared" si="29"/>
        <v>0</v>
      </c>
      <c r="J86" s="47">
        <f>+G86/I91</f>
        <v>0</v>
      </c>
      <c r="K86" s="48">
        <f>+I86/I91</f>
        <v>0</v>
      </c>
      <c r="L86" s="49">
        <f t="shared" si="17"/>
        <v>0</v>
      </c>
      <c r="M86" s="45">
        <f t="shared" si="33"/>
        <v>0</v>
      </c>
      <c r="N86" s="51">
        <f t="shared" si="19"/>
        <v>5.6406802492002015</v>
      </c>
      <c r="O86" s="51">
        <f t="shared" si="20"/>
        <v>0</v>
      </c>
      <c r="P86" s="51">
        <f t="shared" si="21"/>
        <v>1.2575790186372227E-9</v>
      </c>
      <c r="Q86" s="52">
        <f t="shared" si="22"/>
        <v>2.9991805694397013E-6</v>
      </c>
      <c r="R86" s="51">
        <f t="shared" si="23"/>
        <v>8.5908128893872888E-4</v>
      </c>
      <c r="S86" s="50">
        <f t="shared" si="24"/>
        <v>4.0254465027176581E-4</v>
      </c>
      <c r="T86" s="57">
        <f t="shared" si="32"/>
        <v>0</v>
      </c>
      <c r="U86" s="50">
        <f t="shared" si="25"/>
        <v>0</v>
      </c>
      <c r="V86" s="58">
        <f t="shared" si="30"/>
        <v>90.397445931228006</v>
      </c>
      <c r="W86" s="101">
        <f t="shared" si="31"/>
        <v>1345.8409649122807</v>
      </c>
      <c r="X86" s="50">
        <f t="shared" si="26"/>
        <v>100.00007169591339</v>
      </c>
      <c r="Y86" s="19"/>
      <c r="AB86" s="54">
        <f t="shared" si="27"/>
        <v>-7.1695913383962306E-7</v>
      </c>
    </row>
    <row r="87" spans="1:28" x14ac:dyDescent="0.25">
      <c r="A87" s="41">
        <v>75</v>
      </c>
      <c r="B87" s="42">
        <v>39601</v>
      </c>
      <c r="C87" s="43"/>
      <c r="D87" s="55">
        <v>2040</v>
      </c>
      <c r="E87" s="56">
        <f t="shared" si="28"/>
        <v>30</v>
      </c>
      <c r="F87" s="41">
        <v>9.3556133750000004E-5</v>
      </c>
      <c r="G87" s="45">
        <f>+'[1]Con 10hP4'!E88</f>
        <v>0</v>
      </c>
      <c r="H87" s="99">
        <f t="shared" si="18"/>
        <v>7.4625131172466408E-3</v>
      </c>
      <c r="I87" s="47">
        <f t="shared" si="29"/>
        <v>0</v>
      </c>
      <c r="J87" s="47">
        <f>+G87/I91</f>
        <v>0</v>
      </c>
      <c r="K87" s="48">
        <f>+I87/I91</f>
        <v>0</v>
      </c>
      <c r="L87" s="49">
        <f t="shared" si="17"/>
        <v>0</v>
      </c>
      <c r="M87" s="45">
        <f t="shared" si="33"/>
        <v>0</v>
      </c>
      <c r="N87" s="51">
        <f t="shared" si="19"/>
        <v>5.7248695066509505</v>
      </c>
      <c r="O87" s="51">
        <f t="shared" si="20"/>
        <v>0</v>
      </c>
      <c r="P87" s="51">
        <f t="shared" si="21"/>
        <v>6.0730289796138686E-10</v>
      </c>
      <c r="Q87" s="52">
        <f t="shared" si="22"/>
        <v>1.9437759812456975E-6</v>
      </c>
      <c r="R87" s="51">
        <f t="shared" si="23"/>
        <v>7.527919638718254E-4</v>
      </c>
      <c r="S87" s="50">
        <f t="shared" si="24"/>
        <v>3.4894673157447314E-4</v>
      </c>
      <c r="T87" s="57">
        <f t="shared" si="32"/>
        <v>0</v>
      </c>
      <c r="U87" s="50">
        <f t="shared" si="25"/>
        <v>0</v>
      </c>
      <c r="V87" s="58">
        <f t="shared" si="30"/>
        <v>90.397445931228006</v>
      </c>
      <c r="W87" s="101">
        <f t="shared" si="31"/>
        <v>1345.8409649122807</v>
      </c>
      <c r="X87" s="50">
        <f t="shared" si="26"/>
        <v>100.00007169591339</v>
      </c>
      <c r="Y87" s="19"/>
      <c r="AB87" s="54">
        <f t="shared" si="27"/>
        <v>-7.1695913383962306E-7</v>
      </c>
    </row>
    <row r="88" spans="1:28" x14ac:dyDescent="0.25">
      <c r="A88" s="41">
        <v>76</v>
      </c>
      <c r="B88" s="42">
        <v>39601</v>
      </c>
      <c r="C88" s="43"/>
      <c r="D88" s="55">
        <v>2070</v>
      </c>
      <c r="E88" s="56">
        <f t="shared" si="28"/>
        <v>30</v>
      </c>
      <c r="F88" s="41">
        <v>9.3556133750000004E-5</v>
      </c>
      <c r="G88" s="45">
        <f>+'[1]Con 10hP4'!E89</f>
        <v>0</v>
      </c>
      <c r="H88" s="99">
        <f t="shared" si="18"/>
        <v>6.8990458590193803E-3</v>
      </c>
      <c r="I88" s="47">
        <f t="shared" si="29"/>
        <v>0</v>
      </c>
      <c r="J88" s="47">
        <f>+G88/I91</f>
        <v>0</v>
      </c>
      <c r="K88" s="48">
        <f>+I88/I91</f>
        <v>0</v>
      </c>
      <c r="L88" s="49">
        <f t="shared" si="17"/>
        <v>0</v>
      </c>
      <c r="M88" s="45">
        <f t="shared" si="33"/>
        <v>0</v>
      </c>
      <c r="N88" s="51">
        <f t="shared" si="19"/>
        <v>5.8090587641017004</v>
      </c>
      <c r="O88" s="51">
        <f t="shared" si="20"/>
        <v>0</v>
      </c>
      <c r="P88" s="51">
        <f t="shared" si="21"/>
        <v>2.8946221616334391E-10</v>
      </c>
      <c r="Q88" s="52">
        <f t="shared" si="22"/>
        <v>1.2499810923410579E-6</v>
      </c>
      <c r="R88" s="51">
        <f t="shared" si="23"/>
        <v>6.5964838470832085E-4</v>
      </c>
      <c r="S88" s="50">
        <f t="shared" si="24"/>
        <v>3.0242990601617864E-4</v>
      </c>
      <c r="T88" s="57">
        <f t="shared" si="32"/>
        <v>0</v>
      </c>
      <c r="U88" s="50">
        <f t="shared" si="25"/>
        <v>0</v>
      </c>
      <c r="V88" s="58">
        <f t="shared" si="30"/>
        <v>90.397445931228006</v>
      </c>
      <c r="W88" s="101">
        <f t="shared" si="31"/>
        <v>1345.8409649122807</v>
      </c>
      <c r="X88" s="50">
        <f t="shared" si="26"/>
        <v>100.00007169591339</v>
      </c>
      <c r="Y88" s="19"/>
      <c r="AB88" s="54">
        <f t="shared" si="27"/>
        <v>-7.1695913383962306E-7</v>
      </c>
    </row>
    <row r="89" spans="1:28" x14ac:dyDescent="0.25">
      <c r="G89" s="54">
        <f>+MAX(G12:G80)</f>
        <v>2.7522543859649122</v>
      </c>
      <c r="H89" s="84"/>
      <c r="O89" s="53"/>
      <c r="P89" s="53"/>
      <c r="Q89" s="11"/>
      <c r="R89" s="53"/>
      <c r="S89" s="53" t="s">
        <v>81</v>
      </c>
      <c r="T89" s="3">
        <f>SUM(T12:T88)</f>
        <v>1129.9680741403511</v>
      </c>
      <c r="U89" s="3">
        <f>SUM(U12:U88)</f>
        <v>90.397445931228006</v>
      </c>
      <c r="V89" s="3"/>
      <c r="W89" s="3"/>
      <c r="X89" s="3"/>
      <c r="Y89" s="3"/>
    </row>
    <row r="90" spans="1:28" x14ac:dyDescent="0.25">
      <c r="D90" s="15"/>
      <c r="O90" s="19"/>
      <c r="P90" s="19"/>
      <c r="Q90" s="16"/>
      <c r="R90" s="19"/>
      <c r="S90" s="19" t="s">
        <v>82</v>
      </c>
      <c r="T90" s="3">
        <f>+T89/(5000*0.25)*100</f>
        <v>90.397445931228077</v>
      </c>
      <c r="U90" s="3"/>
      <c r="V90" s="3"/>
      <c r="W90" s="3"/>
      <c r="X90" s="3"/>
      <c r="Y90" s="3"/>
    </row>
    <row r="91" spans="1:28" x14ac:dyDescent="0.25">
      <c r="G91" t="s">
        <v>64</v>
      </c>
      <c r="I91" s="54">
        <f>SUM(I12:I88)</f>
        <v>1345.8409649122807</v>
      </c>
      <c r="K91" s="86" t="s">
        <v>83</v>
      </c>
      <c r="L91" s="9">
        <f>SUM(L12:L88)</f>
        <v>472.72620370345624</v>
      </c>
    </row>
    <row r="93" spans="1:28" x14ac:dyDescent="0.25">
      <c r="J93" t="s">
        <v>84</v>
      </c>
      <c r="L93" s="53">
        <f>+L91/60</f>
        <v>7.8787700617242704</v>
      </c>
    </row>
    <row r="94" spans="1:28" x14ac:dyDescent="0.25">
      <c r="J94" t="s">
        <v>85</v>
      </c>
      <c r="L94" s="53">
        <f>+L93/O112</f>
        <v>0.78109324830330451</v>
      </c>
    </row>
    <row r="98" spans="12:18" x14ac:dyDescent="0.25">
      <c r="L98" t="s">
        <v>86</v>
      </c>
      <c r="M98" t="s">
        <v>87</v>
      </c>
      <c r="N98" t="s">
        <v>18</v>
      </c>
    </row>
    <row r="99" spans="12:18" x14ac:dyDescent="0.25">
      <c r="L99" s="89">
        <v>0.28472222222222221</v>
      </c>
      <c r="M99">
        <v>0</v>
      </c>
      <c r="N99">
        <v>840</v>
      </c>
    </row>
    <row r="100" spans="12:18" x14ac:dyDescent="0.25">
      <c r="L100" s="89">
        <v>0.53472222222222221</v>
      </c>
      <c r="M100">
        <v>360</v>
      </c>
      <c r="N100">
        <v>810</v>
      </c>
      <c r="O100" s="3" t="s">
        <v>19</v>
      </c>
      <c r="P100" s="3" t="s">
        <v>88</v>
      </c>
      <c r="Q100" s="8" t="s">
        <v>89</v>
      </c>
    </row>
    <row r="101" spans="12:18" x14ac:dyDescent="0.25">
      <c r="L101" s="89">
        <v>0.78472222222222221</v>
      </c>
      <c r="M101">
        <v>720</v>
      </c>
      <c r="N101">
        <v>800</v>
      </c>
      <c r="O101">
        <v>840</v>
      </c>
      <c r="P101" s="5"/>
      <c r="Q101" s="90"/>
      <c r="R101" s="3" t="s">
        <v>90</v>
      </c>
    </row>
    <row r="102" spans="12:18" x14ac:dyDescent="0.25">
      <c r="L102" s="91" t="s">
        <v>91</v>
      </c>
      <c r="M102">
        <v>1080</v>
      </c>
      <c r="N102">
        <v>790</v>
      </c>
      <c r="O102">
        <v>840</v>
      </c>
      <c r="P102" s="5">
        <v>34.799999999999997</v>
      </c>
      <c r="Q102" s="90">
        <v>33.9</v>
      </c>
    </row>
    <row r="103" spans="12:18" x14ac:dyDescent="0.25">
      <c r="L103" s="89">
        <v>0.28472222222222221</v>
      </c>
      <c r="M103" s="3">
        <v>1440</v>
      </c>
      <c r="N103">
        <v>790</v>
      </c>
      <c r="O103">
        <v>840</v>
      </c>
      <c r="P103" s="5">
        <v>30.8</v>
      </c>
      <c r="Q103" s="90">
        <v>32.799999999999997</v>
      </c>
    </row>
    <row r="104" spans="12:18" x14ac:dyDescent="0.25">
      <c r="L104" s="89">
        <v>0.53472222222222221</v>
      </c>
      <c r="M104" s="3">
        <v>1800</v>
      </c>
      <c r="N104">
        <v>800</v>
      </c>
      <c r="O104">
        <v>837</v>
      </c>
      <c r="P104" s="5">
        <v>28</v>
      </c>
      <c r="Q104" s="90">
        <v>30.4</v>
      </c>
    </row>
    <row r="105" spans="12:18" x14ac:dyDescent="0.25">
      <c r="L105" s="89">
        <v>0.72222222222222221</v>
      </c>
      <c r="M105" s="3">
        <v>2058</v>
      </c>
      <c r="N105">
        <v>805</v>
      </c>
      <c r="O105">
        <v>830</v>
      </c>
      <c r="P105" s="5">
        <v>28.7</v>
      </c>
      <c r="Q105" s="90">
        <v>29.6</v>
      </c>
    </row>
    <row r="106" spans="12:18" x14ac:dyDescent="0.25">
      <c r="L106" s="92"/>
      <c r="O106">
        <v>850</v>
      </c>
      <c r="P106" s="5">
        <v>35.299999999999997</v>
      </c>
      <c r="Q106" s="90">
        <v>35.1</v>
      </c>
    </row>
    <row r="107" spans="12:18" x14ac:dyDescent="0.25">
      <c r="M107" s="3" t="s">
        <v>92</v>
      </c>
      <c r="N107" s="4">
        <f>SUM(N99:N106)/7</f>
        <v>805</v>
      </c>
      <c r="O107">
        <v>840</v>
      </c>
      <c r="P107" s="5">
        <v>33.5</v>
      </c>
      <c r="Q107" s="90">
        <v>33.9</v>
      </c>
    </row>
    <row r="109" spans="12:18" x14ac:dyDescent="0.25">
      <c r="M109" s="3" t="s">
        <v>107</v>
      </c>
      <c r="O109" s="5">
        <f>SUM(O101:O108)/7</f>
        <v>839.57142857142856</v>
      </c>
    </row>
    <row r="110" spans="12:18" x14ac:dyDescent="0.25">
      <c r="M110" s="93" t="s">
        <v>94</v>
      </c>
      <c r="N110" s="93"/>
    </row>
    <row r="111" spans="12:18" x14ac:dyDescent="0.25">
      <c r="O111" s="5">
        <f>+O109</f>
        <v>839.57142857142856</v>
      </c>
    </row>
    <row r="112" spans="12:18" x14ac:dyDescent="0.25">
      <c r="O112" s="95">
        <f>+(K3*1000/O111)/60</f>
        <v>10.086849526402363</v>
      </c>
      <c r="P112" t="s">
        <v>95</v>
      </c>
    </row>
  </sheetData>
  <mergeCells count="2">
    <mergeCell ref="N9:O9"/>
    <mergeCell ref="P9:Q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</vt:lpstr>
      <vt:lpstr>TRH5hP4</vt:lpstr>
      <vt:lpstr>TRH 5hE</vt:lpstr>
      <vt:lpstr>TRH 8hE</vt:lpstr>
      <vt:lpstr>TRH8hP4</vt:lpstr>
      <vt:lpstr>TRH 10hE</vt:lpstr>
      <vt:lpstr>TRH 10hP4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Valaur Ekbalam Márquez Baños</dc:creator>
  <cp:lastModifiedBy>carlos andrs espinosa munguia</cp:lastModifiedBy>
  <dcterms:created xsi:type="dcterms:W3CDTF">2023-02-05T01:55:50Z</dcterms:created>
  <dcterms:modified xsi:type="dcterms:W3CDTF">2023-02-17T06:56:29Z</dcterms:modified>
</cp:coreProperties>
</file>